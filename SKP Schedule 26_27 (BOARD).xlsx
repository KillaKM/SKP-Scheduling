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imo\Downloads\"/>
    </mc:Choice>
  </mc:AlternateContent>
  <xr:revisionPtr revIDLastSave="0" documentId="11_B2E920EA70324F93DBAA950F825D9CE4CADC44A1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KP" sheetId="1" r:id="rId1"/>
    <sheet name="Players" sheetId="2" r:id="rId2"/>
    <sheet name="Committees" sheetId="3" r:id="rId3"/>
    <sheet name="Divisions" sheetId="4" r:id="rId4"/>
    <sheet name="all games" sheetId="5" r:id="rId5"/>
  </sheets>
  <calcPr calcId="181029"/>
</workbook>
</file>

<file path=xl/calcChain.xml><?xml version="1.0" encoding="utf-8"?>
<calcChain xmlns="http://schemas.openxmlformats.org/spreadsheetml/2006/main">
  <c r="S43" i="1" l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</calcChain>
</file>

<file path=xl/sharedStrings.xml><?xml version="1.0" encoding="utf-8"?>
<sst xmlns="http://schemas.openxmlformats.org/spreadsheetml/2006/main" count="2353" uniqueCount="535">
  <si>
    <t>First name</t>
  </si>
  <si>
    <t>Last name</t>
  </si>
  <si>
    <t>Diploma</t>
  </si>
  <si>
    <t>Full/ half season</t>
  </si>
  <si>
    <t>Extra points</t>
  </si>
  <si>
    <t>Referee</t>
  </si>
  <si>
    <t>Table duty</t>
  </si>
  <si>
    <t>Total points</t>
  </si>
  <si>
    <t>Extra</t>
  </si>
  <si>
    <t>MSE 1</t>
  </si>
  <si>
    <t>Alexandru</t>
  </si>
  <si>
    <t>Bogdan</t>
  </si>
  <si>
    <t>Full Season</t>
  </si>
  <si>
    <t>Ediz</t>
  </si>
  <si>
    <t>Akartyurk</t>
  </si>
  <si>
    <t>BS2</t>
  </si>
  <si>
    <t>First Halve</t>
  </si>
  <si>
    <t>Augustinas </t>
  </si>
  <si>
    <t>Digrys</t>
  </si>
  <si>
    <t>Luka</t>
  </si>
  <si>
    <t>Latinović</t>
  </si>
  <si>
    <t>Jobst</t>
  </si>
  <si>
    <t>Knief</t>
  </si>
  <si>
    <t>BS1</t>
  </si>
  <si>
    <t>Luuk</t>
  </si>
  <si>
    <t>Schellen</t>
  </si>
  <si>
    <t>Vilius</t>
  </si>
  <si>
    <t>Vaičius</t>
  </si>
  <si>
    <t>Second Halve</t>
  </si>
  <si>
    <t>Siep</t>
  </si>
  <si>
    <t>Jenniskens</t>
  </si>
  <si>
    <t>Javier</t>
  </si>
  <si>
    <t>Kuipers Abad</t>
  </si>
  <si>
    <t>Antoni</t>
  </si>
  <si>
    <t>Kowalski</t>
  </si>
  <si>
    <t>Jelle</t>
  </si>
  <si>
    <t>Braks</t>
  </si>
  <si>
    <t>Rapolas</t>
  </si>
  <si>
    <t>Naujokas</t>
  </si>
  <si>
    <t>Stefan</t>
  </si>
  <si>
    <t>Iordache</t>
  </si>
  <si>
    <t>Merlijn</t>
  </si>
  <si>
    <t>Koole</t>
  </si>
  <si>
    <t>BS3</t>
  </si>
  <si>
    <t>Owen</t>
  </si>
  <si>
    <t>van der Bij</t>
  </si>
  <si>
    <t>Board</t>
  </si>
  <si>
    <t>MSE 2</t>
  </si>
  <si>
    <t>Remco</t>
  </si>
  <si>
    <t>Aalbers</t>
  </si>
  <si>
    <t>Second Half</t>
  </si>
  <si>
    <t>VakanSki + Gone till January</t>
  </si>
  <si>
    <t>Benne</t>
  </si>
  <si>
    <t>Boverhof</t>
  </si>
  <si>
    <t>Recreational for now</t>
  </si>
  <si>
    <t>Jarno</t>
  </si>
  <si>
    <t>van Tuil</t>
  </si>
  <si>
    <t>Thomas</t>
  </si>
  <si>
    <t>de Fauw</t>
  </si>
  <si>
    <t>Damianos</t>
  </si>
  <si>
    <t>Giannis</t>
  </si>
  <si>
    <t>BarCo</t>
  </si>
  <si>
    <t>Joost</t>
  </si>
  <si>
    <t>Van Hoesel</t>
  </si>
  <si>
    <t>Rik</t>
  </si>
  <si>
    <t>Burgers</t>
  </si>
  <si>
    <t>Player Coach + VakanSki</t>
  </si>
  <si>
    <t>Timo</t>
  </si>
  <si>
    <t>van Duivenboden</t>
  </si>
  <si>
    <t>Ben</t>
  </si>
  <si>
    <t>Feiereisen</t>
  </si>
  <si>
    <t>Mario</t>
  </si>
  <si>
    <t>Molpeceres</t>
  </si>
  <si>
    <t>Kaan</t>
  </si>
  <si>
    <t>Hanci</t>
  </si>
  <si>
    <t>Koen</t>
  </si>
  <si>
    <t>Pothoven</t>
  </si>
  <si>
    <t>Gabriel</t>
  </si>
  <si>
    <t>Burgueno Moreno</t>
  </si>
  <si>
    <t>Hannes</t>
  </si>
  <si>
    <t>Friese</t>
  </si>
  <si>
    <t>Alexandros</t>
  </si>
  <si>
    <t>Kalais</t>
  </si>
  <si>
    <t>MSE 3</t>
  </si>
  <si>
    <t>Deniz</t>
  </si>
  <si>
    <t>Altinoklar</t>
  </si>
  <si>
    <t>Álvaro</t>
  </si>
  <si>
    <t>de la Aleja</t>
  </si>
  <si>
    <t>Francesco</t>
  </si>
  <si>
    <t>Flumini</t>
  </si>
  <si>
    <t>Isidoros</t>
  </si>
  <si>
    <t>Kotinis</t>
  </si>
  <si>
    <t>DeCo + SHART</t>
  </si>
  <si>
    <t>Ilia</t>
  </si>
  <si>
    <t>Lazarov</t>
  </si>
  <si>
    <t>Oscar</t>
  </si>
  <si>
    <t>Hanselaar</t>
  </si>
  <si>
    <t>Oztoprak</t>
  </si>
  <si>
    <t>Nikolaos</t>
  </si>
  <si>
    <t>Sagias</t>
  </si>
  <si>
    <t>Joshua</t>
  </si>
  <si>
    <t>Tamminga</t>
  </si>
  <si>
    <t>Player Coach</t>
  </si>
  <si>
    <t>Luca</t>
  </si>
  <si>
    <t>Vujković roos</t>
  </si>
  <si>
    <t>Benjamin</t>
  </si>
  <si>
    <t>Bron</t>
  </si>
  <si>
    <t>Ilyan</t>
  </si>
  <si>
    <t>Batta-Stoll</t>
  </si>
  <si>
    <t>Ada</t>
  </si>
  <si>
    <t>Cetinaslan</t>
  </si>
  <si>
    <t>Demir</t>
  </si>
  <si>
    <t>Göksel</t>
  </si>
  <si>
    <t>Kamil</t>
  </si>
  <si>
    <t>Bagas</t>
  </si>
  <si>
    <t>MSE 4</t>
  </si>
  <si>
    <t>David-Stefan</t>
  </si>
  <si>
    <t>Baltateanu</t>
  </si>
  <si>
    <t>Matei</t>
  </si>
  <si>
    <t>Gavrilovici</t>
  </si>
  <si>
    <t>Joksic</t>
  </si>
  <si>
    <t>Coach</t>
  </si>
  <si>
    <t>Rares</t>
  </si>
  <si>
    <t>Ioan</t>
  </si>
  <si>
    <t>Mert</t>
  </si>
  <si>
    <t>Yalçın</t>
  </si>
  <si>
    <t>Filippo</t>
  </si>
  <si>
    <t>Rapparini Gualandi</t>
  </si>
  <si>
    <t>Jorge</t>
  </si>
  <si>
    <t>Villa Ruiz</t>
  </si>
  <si>
    <t>Christos</t>
  </si>
  <si>
    <t>Lagogiannis</t>
  </si>
  <si>
    <t>Zinkevicius</t>
  </si>
  <si>
    <t>Coban</t>
  </si>
  <si>
    <t>Huseyin</t>
  </si>
  <si>
    <t>Basharan</t>
  </si>
  <si>
    <t>Damian</t>
  </si>
  <si>
    <t>Michailov</t>
  </si>
  <si>
    <t>Rune</t>
  </si>
  <si>
    <t>Bloemen</t>
  </si>
  <si>
    <t>Daniel</t>
  </si>
  <si>
    <t>Gallardo</t>
  </si>
  <si>
    <t>Ilias</t>
  </si>
  <si>
    <t>Trigkakis</t>
  </si>
  <si>
    <t>Çınar</t>
  </si>
  <si>
    <t>Önsel</t>
  </si>
  <si>
    <t>MSE 5</t>
  </si>
  <si>
    <t>Martijn</t>
  </si>
  <si>
    <t>Bevers</t>
  </si>
  <si>
    <t>Alexander</t>
  </si>
  <si>
    <t>Cornelissen</t>
  </si>
  <si>
    <t>in 't Groen</t>
  </si>
  <si>
    <t>Back in January</t>
  </si>
  <si>
    <t>Jan</t>
  </si>
  <si>
    <t>Manuel</t>
  </si>
  <si>
    <t>Lobbezoo</t>
  </si>
  <si>
    <t>Assistant coach+IBT+BarCo+Website</t>
  </si>
  <si>
    <t>Eitvidas</t>
  </si>
  <si>
    <t>Šemežys</t>
  </si>
  <si>
    <t>Wei-long</t>
  </si>
  <si>
    <t>Wang</t>
  </si>
  <si>
    <t>Daan</t>
  </si>
  <si>
    <t>de Heer</t>
  </si>
  <si>
    <t>Barata</t>
  </si>
  <si>
    <t>Emre</t>
  </si>
  <si>
    <t>Bilgin</t>
  </si>
  <si>
    <t>van Kranenburg</t>
  </si>
  <si>
    <t>Zinkevičius</t>
  </si>
  <si>
    <t>Kajus</t>
  </si>
  <si>
    <t>Puronas</t>
  </si>
  <si>
    <t>SHART</t>
  </si>
  <si>
    <t>MSE 6</t>
  </si>
  <si>
    <t>Fatovic</t>
  </si>
  <si>
    <t>Kristiyan</t>
  </si>
  <si>
    <t>Vladov</t>
  </si>
  <si>
    <t>Maksim</t>
  </si>
  <si>
    <t>Fisekovic</t>
  </si>
  <si>
    <t>Rodrigo</t>
  </si>
  <si>
    <t>López Suárez</t>
  </si>
  <si>
    <t>Dimitrios</t>
  </si>
  <si>
    <t>Tsioutsas</t>
  </si>
  <si>
    <t>Maks</t>
  </si>
  <si>
    <t>Adamowicz</t>
  </si>
  <si>
    <t>Adam</t>
  </si>
  <si>
    <t>Couderc</t>
  </si>
  <si>
    <t>Pablo</t>
  </si>
  <si>
    <t>Ramos Dominguez</t>
  </si>
  <si>
    <t>Player coach</t>
  </si>
  <si>
    <t>Mateus</t>
  </si>
  <si>
    <t>Teixeira Graça Moura</t>
  </si>
  <si>
    <t>Luis</t>
  </si>
  <si>
    <t>Moreno</t>
  </si>
  <si>
    <t>Dovydas</t>
  </si>
  <si>
    <t>Šatkauskas</t>
  </si>
  <si>
    <t>Aarya</t>
  </si>
  <si>
    <t>Patil</t>
  </si>
  <si>
    <t>Ali</t>
  </si>
  <si>
    <t>Kurttepeli</t>
  </si>
  <si>
    <t>Juan David</t>
  </si>
  <si>
    <t>Palomino Cruz</t>
  </si>
  <si>
    <t>VSE 1</t>
  </si>
  <si>
    <t>Alexandra</t>
  </si>
  <si>
    <t>Livieratou</t>
  </si>
  <si>
    <t>Anastasia</t>
  </si>
  <si>
    <t>Aurelie</t>
  </si>
  <si>
    <t>Ruitort</t>
  </si>
  <si>
    <t>L4</t>
  </si>
  <si>
    <t>Cleo</t>
  </si>
  <si>
    <t>Darwiz</t>
  </si>
  <si>
    <t>Ece</t>
  </si>
  <si>
    <t>Unal</t>
  </si>
  <si>
    <t>Gloria</t>
  </si>
  <si>
    <t>Battiston</t>
  </si>
  <si>
    <t>IBT+Shart</t>
  </si>
  <si>
    <t>Haya</t>
  </si>
  <si>
    <t>Abdallah</t>
  </si>
  <si>
    <t>Laura</t>
  </si>
  <si>
    <t>Slaats</t>
  </si>
  <si>
    <t>Loes</t>
  </si>
  <si>
    <t>Peters</t>
  </si>
  <si>
    <t>Sophia</t>
  </si>
  <si>
    <t>Moustaki</t>
  </si>
  <si>
    <t>DeCo+VakanSki+MerchCo</t>
  </si>
  <si>
    <t>Wies</t>
  </si>
  <si>
    <t>Pruijn</t>
  </si>
  <si>
    <t>Zoi</t>
  </si>
  <si>
    <t>Agriogianni</t>
  </si>
  <si>
    <t>Ayla</t>
  </si>
  <si>
    <t>van den Bosch</t>
  </si>
  <si>
    <t>DeCo (Is gone for at least first quartile)</t>
  </si>
  <si>
    <t>VSE 2</t>
  </si>
  <si>
    <t>Jeanne</t>
  </si>
  <si>
    <t>Boucand</t>
  </si>
  <si>
    <t>Beloslava</t>
  </si>
  <si>
    <t>Chunchukova</t>
  </si>
  <si>
    <t>Yara</t>
  </si>
  <si>
    <t>Daamen</t>
  </si>
  <si>
    <t>Lucie</t>
  </si>
  <si>
    <t>Hlavoňová</t>
  </si>
  <si>
    <t>Catalina Díaz</t>
  </si>
  <si>
    <t>Nogueira</t>
  </si>
  <si>
    <t>Marina</t>
  </si>
  <si>
    <t>Skempetzi</t>
  </si>
  <si>
    <t>DeCo</t>
  </si>
  <si>
    <t>Rachel</t>
  </si>
  <si>
    <t>Penrose</t>
  </si>
  <si>
    <t>Linde</t>
  </si>
  <si>
    <t>van Rooij</t>
  </si>
  <si>
    <t>Vanessa</t>
  </si>
  <si>
    <t>Veldkamp</t>
  </si>
  <si>
    <t>Parrado Pla</t>
  </si>
  <si>
    <t>Nora</t>
  </si>
  <si>
    <t>Alastal</t>
  </si>
  <si>
    <t>Valeria</t>
  </si>
  <si>
    <t>Ramírez</t>
  </si>
  <si>
    <t>Michelle</t>
  </si>
  <si>
    <t>Chukwuma</t>
  </si>
  <si>
    <t>Date</t>
  </si>
  <si>
    <t>Time</t>
  </si>
  <si>
    <t>Home Team</t>
  </si>
  <si>
    <t>Away Team</t>
  </si>
  <si>
    <t>Field</t>
  </si>
  <si>
    <t>Referee 1</t>
  </si>
  <si>
    <t>Referee 2</t>
  </si>
  <si>
    <t>Scorer</t>
  </si>
  <si>
    <t>Timer</t>
  </si>
  <si>
    <t>24 sec operator</t>
  </si>
  <si>
    <t>Board representative</t>
  </si>
  <si>
    <t>zat. 26-09-2026</t>
  </si>
  <si>
    <t>13:30:00</t>
  </si>
  <si>
    <t>Tantalus - MSE-5</t>
  </si>
  <si>
    <t>Lasers Basketball Club - MSE-1</t>
  </si>
  <si>
    <t>Field 1</t>
  </si>
  <si>
    <t>Division 5</t>
  </si>
  <si>
    <t>Tantalus - VSE-1</t>
  </si>
  <si>
    <t>Barons Breda Basketball - VSE-1</t>
  </si>
  <si>
    <t>Field 2</t>
  </si>
  <si>
    <t>Division 2</t>
  </si>
  <si>
    <t>15:30:00</t>
  </si>
  <si>
    <t>Tantalus - VSE-2</t>
  </si>
  <si>
    <t>The Black Eagles - VSE-1</t>
  </si>
  <si>
    <t>Division 4</t>
  </si>
  <si>
    <t>Tantalus - MSE-6</t>
  </si>
  <si>
    <t>Jumpers '76 - MSE-1</t>
  </si>
  <si>
    <t>zon. 27-09-2026</t>
  </si>
  <si>
    <t>12:30:00</t>
  </si>
  <si>
    <t>Tantalus - MSE-1</t>
  </si>
  <si>
    <t>Marathon - MSE-1</t>
  </si>
  <si>
    <t>CC</t>
  </si>
  <si>
    <t>Division 1</t>
  </si>
  <si>
    <t>14:45:00</t>
  </si>
  <si>
    <t>Tantalus - MSE-2</t>
  </si>
  <si>
    <t>Tantalus - MSE-3</t>
  </si>
  <si>
    <t>zat. 03-10-2026</t>
  </si>
  <si>
    <t>19:00:00</t>
  </si>
  <si>
    <t>Vido - MSE-1</t>
  </si>
  <si>
    <t>17:00:00</t>
  </si>
  <si>
    <t>Vido - VSE-1</t>
  </si>
  <si>
    <t>Dunatos - MSE-1</t>
  </si>
  <si>
    <t>14:30:00</t>
  </si>
  <si>
    <t>TSBV Pendragon - MSE-1</t>
  </si>
  <si>
    <t>zat. 10-10-2026</t>
  </si>
  <si>
    <t>Oirschot - VSE-1</t>
  </si>
  <si>
    <t>Tantalus - MSE-4</t>
  </si>
  <si>
    <t>BV Krimpen - MSE-1</t>
  </si>
  <si>
    <t>Springfield - MSE-3</t>
  </si>
  <si>
    <t>Basketbal Academie Limburg - MSE-3</t>
  </si>
  <si>
    <t>zat. 31-10-2026</t>
  </si>
  <si>
    <t>11:30:00</t>
  </si>
  <si>
    <t>Achilles '71 - MSE-4</t>
  </si>
  <si>
    <t>EBBC - MSE-2</t>
  </si>
  <si>
    <t>Achilles '71 - MSE-3</t>
  </si>
  <si>
    <t>Trajanum - VSE-3</t>
  </si>
  <si>
    <t>Springfield - VSE-1</t>
  </si>
  <si>
    <t>zon. 01-11-2026</t>
  </si>
  <si>
    <t>Achilles '71 - MSE-1</t>
  </si>
  <si>
    <t>zat. 07-11-2026</t>
  </si>
  <si>
    <t>15:00:00</t>
  </si>
  <si>
    <t>Agathos - MSE-1</t>
  </si>
  <si>
    <t>zat. 14-11-2026</t>
  </si>
  <si>
    <t>OBC - MSE-3</t>
  </si>
  <si>
    <t>Team</t>
  </si>
  <si>
    <t>Division</t>
  </si>
  <si>
    <t>BC Heeze - MSE-1</t>
  </si>
  <si>
    <t>MSE-1</t>
  </si>
  <si>
    <t>Den Dungk - MSE-1</t>
  </si>
  <si>
    <t>MSE-2</t>
  </si>
  <si>
    <t>Marathon - VSE-1</t>
  </si>
  <si>
    <t>MSE-3</t>
  </si>
  <si>
    <t>15:45:00</t>
  </si>
  <si>
    <t>High Five - MSE-1</t>
  </si>
  <si>
    <t>MSE-4</t>
  </si>
  <si>
    <t>MSE-5</t>
  </si>
  <si>
    <t>zat. 21-11-2026</t>
  </si>
  <si>
    <t>16:30:00</t>
  </si>
  <si>
    <t>Orange Basketball Club - MSE-1</t>
  </si>
  <si>
    <t>MSE-6</t>
  </si>
  <si>
    <t>18:30:00</t>
  </si>
  <si>
    <t>Tracks Parkstad - MSE-1</t>
  </si>
  <si>
    <t>VSE-1</t>
  </si>
  <si>
    <t>zat. 28-11-2026</t>
  </si>
  <si>
    <t>14:00:00</t>
  </si>
  <si>
    <t>Achilles '71 - VSE-2</t>
  </si>
  <si>
    <t>L1.1</t>
  </si>
  <si>
    <t>VSE-2</t>
  </si>
  <si>
    <t>Blauw-Wit - MSE-2</t>
  </si>
  <si>
    <t>L1.2</t>
  </si>
  <si>
    <t>16:00:00</t>
  </si>
  <si>
    <t>River Trotters - VSE-2</t>
  </si>
  <si>
    <t>L2</t>
  </si>
  <si>
    <t>BC Titans - MSE-1</t>
  </si>
  <si>
    <t>zon. 29-11-2026</t>
  </si>
  <si>
    <t>Achilles '71 - MSE-2</t>
  </si>
  <si>
    <t>Rotterdam-Zuid - MSE-1</t>
  </si>
  <si>
    <t>zat. 16-01-2027</t>
  </si>
  <si>
    <t>TSBV Pendragon - VSE-2</t>
  </si>
  <si>
    <t>Akros - MSE-2</t>
  </si>
  <si>
    <t>Devel Heroes - MSE-1</t>
  </si>
  <si>
    <t>BC Eindhoven - MSE-1</t>
  </si>
  <si>
    <t>zon. 17-01-2027</t>
  </si>
  <si>
    <t>Attacus - VSE-1</t>
  </si>
  <si>
    <t>Valkenswaard Falcons - MSE-2</t>
  </si>
  <si>
    <t>Quick Lions - MSE-1</t>
  </si>
  <si>
    <t>zat. 23-01-2027</t>
  </si>
  <si>
    <t>15:40:00</t>
  </si>
  <si>
    <t>zat. 30-01-2027</t>
  </si>
  <si>
    <t>Venlo Sport Crusaders - MSE-1</t>
  </si>
  <si>
    <t>BV Rush - VSE-1</t>
  </si>
  <si>
    <t>Yellow Sox - MSE-2</t>
  </si>
  <si>
    <t>EBV Baros - MSE-3</t>
  </si>
  <si>
    <t>zat. 06-02-2027</t>
  </si>
  <si>
    <t>BC Bladel - MSE-1</t>
  </si>
  <si>
    <t>EBBC - VSE-1</t>
  </si>
  <si>
    <t>16:45:00</t>
  </si>
  <si>
    <t>Trajanum - MSE-1</t>
  </si>
  <si>
    <t>zat. 27-02-2027</t>
  </si>
  <si>
    <t>High Five - MSE-3</t>
  </si>
  <si>
    <t>Vido - MSE-2</t>
  </si>
  <si>
    <t>zat. 06-03-2027</t>
  </si>
  <si>
    <t>12:00:00</t>
  </si>
  <si>
    <t>Vido - VSE-2</t>
  </si>
  <si>
    <t>BC LIESHOUT - MSE-2</t>
  </si>
  <si>
    <t>Attacus - MSE-2</t>
  </si>
  <si>
    <t>B.C. Virtus - VSE-1</t>
  </si>
  <si>
    <t>18:15:00</t>
  </si>
  <si>
    <t>WYBA basketbalvereniging - MSE-1</t>
  </si>
  <si>
    <t>zat. 13-03-2027</t>
  </si>
  <si>
    <t>Jumping Giants - MSE-2</t>
  </si>
  <si>
    <t>TSBV Pendragon - MSE-3</t>
  </si>
  <si>
    <t>zat. 20-03-2027</t>
  </si>
  <si>
    <t>BV Schijndel - MSE-1</t>
  </si>
  <si>
    <t>Arnhem Eagles - VSE-2</t>
  </si>
  <si>
    <t>Arnhem Eagles - VSE-1</t>
  </si>
  <si>
    <t>EVBV Octopus - MSE-1</t>
  </si>
  <si>
    <t>zat. 10-04-2027</t>
  </si>
  <si>
    <t>TSBV Pendragon - VSE-1</t>
  </si>
  <si>
    <t>B.O.B. - MSE-2</t>
  </si>
  <si>
    <t>Vlijmscherp SVH - VSE-1</t>
  </si>
  <si>
    <t>Gennep Cougars - MSE-2</t>
  </si>
  <si>
    <t>zon. 11-04-2027</t>
  </si>
  <si>
    <t>BC Heeze - MSE-2</t>
  </si>
  <si>
    <t>Crackerjacks - MSE-1</t>
  </si>
  <si>
    <t>Committees</t>
  </si>
  <si>
    <t>SKP points</t>
  </si>
  <si>
    <t>IBT</t>
  </si>
  <si>
    <t>KasCo</t>
  </si>
  <si>
    <t>Alumini</t>
  </si>
  <si>
    <t>SponsorCo</t>
  </si>
  <si>
    <t>MerchCo</t>
  </si>
  <si>
    <t>Intro</t>
  </si>
  <si>
    <t>VakanCie</t>
  </si>
  <si>
    <t>VakanSKI</t>
  </si>
  <si>
    <t>O.L.D.</t>
  </si>
  <si>
    <t>Assistant coach</t>
  </si>
  <si>
    <t>Referee buddy</t>
  </si>
  <si>
    <t xml:space="preserve">Board </t>
  </si>
  <si>
    <t>Extra comittee</t>
  </si>
  <si>
    <t>Website</t>
  </si>
  <si>
    <t>Referee practice</t>
  </si>
  <si>
    <t>Lustrum committee</t>
  </si>
  <si>
    <t>Datum</t>
  </si>
  <si>
    <t>Starttijd</t>
  </si>
  <si>
    <t>Thuisteam</t>
  </si>
  <si>
    <t>Uitteam</t>
  </si>
  <si>
    <t>Veld</t>
  </si>
  <si>
    <t>Locatie</t>
  </si>
  <si>
    <t>Uitslag</t>
  </si>
  <si>
    <t>Competitie type</t>
  </si>
  <si>
    <t>Status</t>
  </si>
  <si>
    <t>(Click to sort ascending)</t>
  </si>
  <si>
    <t>Veld 2</t>
  </si>
  <si>
    <t>SSC Sportcentrum</t>
  </si>
  <si>
    <t>-</t>
  </si>
  <si>
    <t>Competitie - Regionaal</t>
  </si>
  <si>
    <t>Gepland</t>
  </si>
  <si>
    <t>Veld 1</t>
  </si>
  <si>
    <t>Competitie - Landelijk</t>
  </si>
  <si>
    <t>Woudestein</t>
  </si>
  <si>
    <t>De Stigt</t>
  </si>
  <si>
    <t>Sporthal 't Zand</t>
  </si>
  <si>
    <t>zon. 04-10-2026</t>
  </si>
  <si>
    <t>Egerbos II</t>
  </si>
  <si>
    <t>Sporthal Zuid</t>
  </si>
  <si>
    <t>Gymnasion Hal A</t>
  </si>
  <si>
    <t>Sporthal X-Sport</t>
  </si>
  <si>
    <t>zon. 11-10-2026</t>
  </si>
  <si>
    <t>Den Ekkerman</t>
  </si>
  <si>
    <t>zat. 17-10-2026</t>
  </si>
  <si>
    <t>Challenge - VSE-1</t>
  </si>
  <si>
    <t>De Klumper</t>
  </si>
  <si>
    <t>E.B.C.G. - MSE-2</t>
  </si>
  <si>
    <t>veld 1</t>
  </si>
  <si>
    <t>Achtse Barrier</t>
  </si>
  <si>
    <t>zon. 25-10-2026</t>
  </si>
  <si>
    <t>De Pompenmaker</t>
  </si>
  <si>
    <t>De Drieburcht</t>
  </si>
  <si>
    <t>Vido - MSE-2*</t>
  </si>
  <si>
    <t>Teruggetrokken</t>
  </si>
  <si>
    <t>Zwijsen</t>
  </si>
  <si>
    <t>De Crosser</t>
  </si>
  <si>
    <t>Topsporthal Veld 2</t>
  </si>
  <si>
    <t>Sportcentrum Arcus</t>
  </si>
  <si>
    <t>zon. 08-11-2026</t>
  </si>
  <si>
    <t>vri. 13-11-2026</t>
  </si>
  <si>
    <t>Studentensporthal KUB</t>
  </si>
  <si>
    <t>Jumping Giants - VSE-1</t>
  </si>
  <si>
    <t>SBA Sphinx - VSE-2</t>
  </si>
  <si>
    <t>zon. 15-11-2026</t>
  </si>
  <si>
    <t>sporthal Nederweert</t>
  </si>
  <si>
    <t>don. 19-11-2026</t>
  </si>
  <si>
    <t>vri. 20-11-2026</t>
  </si>
  <si>
    <t>MFC de Omnibus</t>
  </si>
  <si>
    <t>Elzenburg</t>
  </si>
  <si>
    <t>Tracks Parkstad - MSE-1*</t>
  </si>
  <si>
    <t>zon. 22-11-2026</t>
  </si>
  <si>
    <t>Marsana</t>
  </si>
  <si>
    <t>Veld 3</t>
  </si>
  <si>
    <t>sporthal Bunderstraat</t>
  </si>
  <si>
    <t>Basketbal Academie Limburg - MSE-2</t>
  </si>
  <si>
    <t>EVBV Octopus - MSE-3</t>
  </si>
  <si>
    <t>Jumping Giants - MSE-3*</t>
  </si>
  <si>
    <t>vri. 04-12-2026</t>
  </si>
  <si>
    <t>zat. 05-12-2026</t>
  </si>
  <si>
    <t>Dukes Unlimited - MSE-2</t>
  </si>
  <si>
    <t>vri. 11-12-2026</t>
  </si>
  <si>
    <t>Sporthal Carla de Liefde</t>
  </si>
  <si>
    <t>zat. 12-12-2026</t>
  </si>
  <si>
    <t>zon. 13-12-2026</t>
  </si>
  <si>
    <t>Pica Mare 2</t>
  </si>
  <si>
    <t>CC Center Court</t>
  </si>
  <si>
    <t>Zielhorst</t>
  </si>
  <si>
    <t>Die Heygrave</t>
  </si>
  <si>
    <t>De Misse</t>
  </si>
  <si>
    <t>zat. 09-01-2027</t>
  </si>
  <si>
    <t>CBV Binnenland - MSE-4</t>
  </si>
  <si>
    <t>De Driesprong</t>
  </si>
  <si>
    <t>De Tinnegieter</t>
  </si>
  <si>
    <t>De Coevering</t>
  </si>
  <si>
    <t>zon. 10-01-2027</t>
  </si>
  <si>
    <t>Den Dungk - MSE-3</t>
  </si>
  <si>
    <t>De Hazelaar</t>
  </si>
  <si>
    <t>Tivoli</t>
  </si>
  <si>
    <t>De Wetteling</t>
  </si>
  <si>
    <t>Centre Court</t>
  </si>
  <si>
    <t>De Doelen</t>
  </si>
  <si>
    <t>zon. 24-01-2027</t>
  </si>
  <si>
    <t>Sporthal Baskensburg</t>
  </si>
  <si>
    <t>vri. 29-01-2027</t>
  </si>
  <si>
    <t>zon. 31-01-2027</t>
  </si>
  <si>
    <t>Boshoven</t>
  </si>
  <si>
    <t>De Populier</t>
  </si>
  <si>
    <t>De Run</t>
  </si>
  <si>
    <t>zat. 13-02-2027</t>
  </si>
  <si>
    <t>zon. 14-02-2027</t>
  </si>
  <si>
    <t>De Hongerman</t>
  </si>
  <si>
    <t>zat. 20-02-2027</t>
  </si>
  <si>
    <t>Sporthal Dongemond</t>
  </si>
  <si>
    <t>zon. 21-02-2027</t>
  </si>
  <si>
    <t>sportcentrum De Kemmer</t>
  </si>
  <si>
    <t>zon. 28-02-2027</t>
  </si>
  <si>
    <t>vri. 12-03-2027</t>
  </si>
  <si>
    <t>De Bongerd</t>
  </si>
  <si>
    <t>De Ruivert</t>
  </si>
  <si>
    <t>zon. 14-03-2027</t>
  </si>
  <si>
    <t>zon. 21-03-2027</t>
  </si>
  <si>
    <t>Gymzaal Viandenlaan</t>
  </si>
  <si>
    <t>zat. 27-03-2027</t>
  </si>
  <si>
    <t>zat. 03-04-2027</t>
  </si>
  <si>
    <t>Center Court Klein</t>
  </si>
  <si>
    <t>De Wielewaal</t>
  </si>
  <si>
    <t>In de Roos</t>
  </si>
  <si>
    <t>Sportcentrum De Sportmotor</t>
  </si>
  <si>
    <t>zon. 04-04-2027</t>
  </si>
  <si>
    <t>veld 2</t>
  </si>
  <si>
    <t>Sporthal 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</si>
</sst>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2"/>
      <color theme="1"/>
      <name val="Arial"/>
    </font>
    <font>
      <b/>
      <sz val="11"/>
      <color theme="1"/>
      <name val="Calibri"/>
    </font>
    <font>
      <sz val="10"/>
      <color theme="1"/>
      <name val="Calibri"/>
    </font>
    <font>
      <sz val="10"/>
      <color theme="1"/>
      <name val="Arial"/>
    </font>
    <font>
      <b/>
      <sz val="12"/>
      <color theme="1"/>
      <name val="Arial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8"/>
      <color rgb="FF656565"/>
      <name val="Source Sans Pro"/>
      <family val="2"/>
    </font>
    <font>
      <sz val="8"/>
      <color rgb="FF656565"/>
      <name val="Source Sans Pro"/>
      <family val="2"/>
    </font>
    <font>
      <sz val="8"/>
      <color rgb="FF5D9CEC"/>
      <name val="Source Sans Pro"/>
      <family val="2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434343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BDBD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CE5CD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EEEEEE"/>
      </top>
      <bottom/>
      <diagonal/>
    </border>
    <border>
      <left/>
      <right/>
      <top/>
      <bottom style="medium">
        <color rgb="FFEEEEEE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000000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3" fillId="0" borderId="0"/>
  </cellStyleXfs>
  <cellXfs count="68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0" xfId="0" applyFont="1"/>
    <xf numFmtId="0" fontId="5" fillId="0" borderId="1" xfId="0" applyFont="1" applyBorder="1"/>
    <xf numFmtId="0" fontId="5" fillId="0" borderId="0" xfId="0" applyFont="1"/>
    <xf numFmtId="0" fontId="7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/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0" borderId="0" xfId="0" applyFont="1" applyAlignment="1">
      <alignment horizontal="right"/>
    </xf>
    <xf numFmtId="0" fontId="8" fillId="7" borderId="0" xfId="0" applyFont="1" applyFill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right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2" fillId="0" borderId="3" xfId="0" applyFont="1" applyBorder="1" applyAlignment="1">
      <alignment vertical="top" wrapText="1"/>
    </xf>
    <xf numFmtId="0" fontId="13" fillId="0" borderId="3" xfId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20" fontId="11" fillId="0" borderId="3" xfId="0" applyNumberFormat="1" applyFont="1" applyBorder="1" applyAlignment="1">
      <alignment vertical="top" wrapText="1"/>
    </xf>
    <xf numFmtId="0" fontId="14" fillId="8" borderId="2" xfId="0" applyFont="1" applyFill="1" applyBorder="1" applyAlignment="1">
      <alignment horizontal="center" wrapText="1"/>
    </xf>
    <xf numFmtId="0" fontId="14" fillId="8" borderId="5" xfId="0" applyFont="1" applyFill="1" applyBorder="1" applyAlignment="1">
      <alignment horizontal="center" wrapText="1"/>
    </xf>
    <xf numFmtId="0" fontId="14" fillId="8" borderId="2" xfId="0" applyFont="1" applyFill="1" applyBorder="1" applyAlignment="1">
      <alignment wrapText="1"/>
    </xf>
    <xf numFmtId="0" fontId="9" fillId="9" borderId="2" xfId="0" applyFont="1" applyFill="1" applyBorder="1" applyAlignment="1">
      <alignment wrapText="1"/>
    </xf>
    <xf numFmtId="0" fontId="16" fillId="10" borderId="9" xfId="0" applyFont="1" applyFill="1" applyBorder="1" applyAlignment="1">
      <alignment horizontal="center" wrapText="1"/>
    </xf>
    <xf numFmtId="0" fontId="16" fillId="10" borderId="10" xfId="0" applyFont="1" applyFill="1" applyBorder="1" applyAlignment="1">
      <alignment horizontal="center" wrapText="1"/>
    </xf>
    <xf numFmtId="0" fontId="9" fillId="10" borderId="2" xfId="0" applyFont="1" applyFill="1" applyBorder="1" applyAlignment="1">
      <alignment wrapText="1"/>
    </xf>
    <xf numFmtId="0" fontId="14" fillId="10" borderId="2" xfId="0" applyFont="1" applyFill="1" applyBorder="1" applyAlignment="1">
      <alignment horizontal="center" wrapText="1"/>
    </xf>
    <xf numFmtId="0" fontId="14" fillId="10" borderId="2" xfId="0" applyFont="1" applyFill="1" applyBorder="1" applyAlignment="1">
      <alignment horizontal="right" wrapText="1"/>
    </xf>
    <xf numFmtId="0" fontId="16" fillId="9" borderId="11" xfId="0" applyFont="1" applyFill="1" applyBorder="1" applyAlignment="1">
      <alignment horizontal="center" wrapText="1"/>
    </xf>
    <xf numFmtId="0" fontId="16" fillId="9" borderId="10" xfId="0" applyFont="1" applyFill="1" applyBorder="1" applyAlignment="1">
      <alignment horizontal="center" wrapText="1"/>
    </xf>
    <xf numFmtId="0" fontId="14" fillId="9" borderId="2" xfId="0" applyFont="1" applyFill="1" applyBorder="1" applyAlignment="1">
      <alignment horizontal="center" wrapText="1"/>
    </xf>
    <xf numFmtId="0" fontId="14" fillId="9" borderId="2" xfId="0" applyFont="1" applyFill="1" applyBorder="1" applyAlignment="1">
      <alignment horizontal="right" wrapText="1"/>
    </xf>
    <xf numFmtId="0" fontId="16" fillId="10" borderId="12" xfId="0" applyFont="1" applyFill="1" applyBorder="1" applyAlignment="1">
      <alignment horizontal="center" wrapText="1"/>
    </xf>
    <xf numFmtId="0" fontId="14" fillId="11" borderId="2" xfId="0" applyFont="1" applyFill="1" applyBorder="1" applyAlignment="1">
      <alignment horizontal="center" wrapText="1"/>
    </xf>
    <xf numFmtId="0" fontId="16" fillId="10" borderId="13" xfId="0" applyFont="1" applyFill="1" applyBorder="1" applyAlignment="1">
      <alignment horizontal="center" wrapText="1"/>
    </xf>
    <xf numFmtId="0" fontId="16" fillId="10" borderId="6" xfId="0" applyFont="1" applyFill="1" applyBorder="1" applyAlignment="1">
      <alignment horizontal="center" wrapText="1"/>
    </xf>
    <xf numFmtId="0" fontId="16" fillId="9" borderId="13" xfId="0" applyFont="1" applyFill="1" applyBorder="1" applyAlignment="1">
      <alignment horizontal="center" wrapText="1"/>
    </xf>
    <xf numFmtId="0" fontId="16" fillId="9" borderId="6" xfId="0" applyFont="1" applyFill="1" applyBorder="1" applyAlignment="1">
      <alignment horizontal="center" wrapText="1"/>
    </xf>
    <xf numFmtId="0" fontId="16" fillId="9" borderId="14" xfId="0" applyFont="1" applyFill="1" applyBorder="1" applyAlignment="1">
      <alignment horizontal="center" wrapText="1"/>
    </xf>
    <xf numFmtId="0" fontId="16" fillId="10" borderId="15" xfId="0" applyFont="1" applyFill="1" applyBorder="1" applyAlignment="1">
      <alignment horizontal="center" wrapText="1"/>
    </xf>
    <xf numFmtId="0" fontId="14" fillId="9" borderId="5" xfId="0" applyFont="1" applyFill="1" applyBorder="1" applyAlignment="1">
      <alignment horizontal="center" wrapText="1"/>
    </xf>
    <xf numFmtId="0" fontId="14" fillId="10" borderId="5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wrapText="1"/>
    </xf>
    <xf numFmtId="0" fontId="9" fillId="10" borderId="5" xfId="0" applyFont="1" applyFill="1" applyBorder="1" applyAlignment="1">
      <alignment wrapText="1"/>
    </xf>
    <xf numFmtId="0" fontId="9" fillId="10" borderId="2" xfId="0" applyFont="1" applyFill="1" applyBorder="1" applyAlignment="1">
      <alignment horizontal="right" wrapText="1"/>
    </xf>
    <xf numFmtId="0" fontId="9" fillId="9" borderId="2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0" fontId="9" fillId="9" borderId="17" xfId="0" applyFont="1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15" fillId="9" borderId="5" xfId="0" applyFont="1" applyFill="1" applyBorder="1" applyAlignment="1">
      <alignment horizontal="center" wrapText="1"/>
    </xf>
    <xf numFmtId="0" fontId="0" fillId="0" borderId="16" xfId="0" applyBorder="1"/>
    <xf numFmtId="0" fontId="15" fillId="10" borderId="2" xfId="0" applyFont="1" applyFill="1" applyBorder="1" applyAlignment="1">
      <alignment horizontal="center" wrapText="1"/>
    </xf>
    <xf numFmtId="0" fontId="9" fillId="10" borderId="2" xfId="0" applyFont="1" applyFill="1" applyBorder="1" applyAlignment="1">
      <alignment wrapText="1"/>
    </xf>
    <xf numFmtId="0" fontId="15" fillId="10" borderId="5" xfId="0" applyFont="1" applyFill="1" applyBorder="1" applyAlignment="1">
      <alignment horizontal="center" wrapText="1"/>
    </xf>
    <xf numFmtId="0" fontId="9" fillId="9" borderId="2" xfId="0" applyFont="1" applyFill="1" applyBorder="1" applyAlignment="1">
      <alignment wrapText="1"/>
    </xf>
    <xf numFmtId="0" fontId="15" fillId="9" borderId="2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4" xfId="0" applyBorder="1"/>
    <xf numFmtId="0" fontId="10" fillId="0" borderId="4" xfId="0" applyFont="1" applyBorder="1" applyAlignment="1">
      <alignment horizontal="center" wrapText="1"/>
    </xf>
  </cellXfs>
  <cellStyles count="2">
    <cellStyle name="Hyperlink" xfId="1" builtinId="8"/>
    <cellStyle name="Standaard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9" defaultPivotStyle="PivotStyleLight16">
    <tableStyle name="SK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9525</xdr:colOff>
      <xdr:row>1</xdr:row>
      <xdr:rowOff>190500</xdr:rowOff>
    </xdr:from>
    <xdr:ext cx="9639300" cy="5019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club.basketball.nl/management/7983f1df-70f8-4def-af89-86b7fe6cde42/spas/competition/matches/507355" TargetMode="External"/><Relationship Id="rId21" Type="http://schemas.openxmlformats.org/officeDocument/2006/relationships/hyperlink" Target="https://club.basketball.nl/management/7983f1df-70f8-4def-af89-86b7fe6cde42/spas/competition/matches/507303" TargetMode="External"/><Relationship Id="rId42" Type="http://schemas.openxmlformats.org/officeDocument/2006/relationships/hyperlink" Target="https://club.basketball.nl/management/7983f1df-70f8-4def-af89-86b7fe6cde42/spas/competition/matches/508411" TargetMode="External"/><Relationship Id="rId63" Type="http://schemas.openxmlformats.org/officeDocument/2006/relationships/hyperlink" Target="https://club.basketball.nl/management/7983f1df-70f8-4def-af89-86b7fe6cde42/spas/competition/matches/508424" TargetMode="External"/><Relationship Id="rId84" Type="http://schemas.openxmlformats.org/officeDocument/2006/relationships/hyperlink" Target="https://club.basketball.nl/management/7983f1df-70f8-4def-af89-86b7fe6cde42/spas/competition/matches/507334" TargetMode="External"/><Relationship Id="rId138" Type="http://schemas.openxmlformats.org/officeDocument/2006/relationships/hyperlink" Target="https://club.basketball.nl/management/7983f1df-70f8-4def-af89-86b7fe6cde42/spas/competition/matches/503789" TargetMode="External"/><Relationship Id="rId159" Type="http://schemas.openxmlformats.org/officeDocument/2006/relationships/hyperlink" Target="https://club.basketball.nl/management/7983f1df-70f8-4def-af89-86b7fe6cde42/spas/competition/matches/505462" TargetMode="External"/><Relationship Id="rId107" Type="http://schemas.openxmlformats.org/officeDocument/2006/relationships/hyperlink" Target="https://club.basketball.nl/management/7983f1df-70f8-4def-af89-86b7fe6cde42/spas/competition/matches/507346" TargetMode="External"/><Relationship Id="rId11" Type="http://schemas.openxmlformats.org/officeDocument/2006/relationships/hyperlink" Target="https://club.basketball.nl/management/7983f1df-70f8-4def-af89-86b7fe6cde42/spas/competition/matches/507301" TargetMode="External"/><Relationship Id="rId32" Type="http://schemas.openxmlformats.org/officeDocument/2006/relationships/hyperlink" Target="https://club.basketball.nl/management/7983f1df-70f8-4def-af89-86b7fe6cde42/spas/competition/matches/508397" TargetMode="External"/><Relationship Id="rId53" Type="http://schemas.openxmlformats.org/officeDocument/2006/relationships/hyperlink" Target="https://club.basketball.nl/management/7983f1df-70f8-4def-af89-86b7fe6cde42/spas/competition/matches/505384" TargetMode="External"/><Relationship Id="rId74" Type="http://schemas.openxmlformats.org/officeDocument/2006/relationships/hyperlink" Target="https://club.basketball.nl/management/7983f1df-70f8-4def-af89-86b7fe6cde42/spas/competition/matches/510707" TargetMode="External"/><Relationship Id="rId128" Type="http://schemas.openxmlformats.org/officeDocument/2006/relationships/hyperlink" Target="https://club.basketball.nl/management/7983f1df-70f8-4def-af89-86b7fe6cde42/spas/competition/matches/509571" TargetMode="External"/><Relationship Id="rId149" Type="http://schemas.openxmlformats.org/officeDocument/2006/relationships/hyperlink" Target="https://club.basketball.nl/management/7983f1df-70f8-4def-af89-86b7fe6cde42/spas/competition/matches/512465" TargetMode="External"/><Relationship Id="rId5" Type="http://schemas.openxmlformats.org/officeDocument/2006/relationships/hyperlink" Target="https://club.basketball.nl/management/7983f1df-70f8-4def-af89-86b7fe6cde42/spas/competition/matches/509480" TargetMode="External"/><Relationship Id="rId95" Type="http://schemas.openxmlformats.org/officeDocument/2006/relationships/hyperlink" Target="https://club.basketball.nl/management/7983f1df-70f8-4def-af89-86b7fe6cde42/spas/competition/matches/511790" TargetMode="External"/><Relationship Id="rId160" Type="http://schemas.openxmlformats.org/officeDocument/2006/relationships/hyperlink" Target="https://club.basketball.nl/management/7983f1df-70f8-4def-af89-86b7fe6cde42/spas/competition/matches/507372" TargetMode="External"/><Relationship Id="rId22" Type="http://schemas.openxmlformats.org/officeDocument/2006/relationships/hyperlink" Target="https://club.basketball.nl/management/7983f1df-70f8-4def-af89-86b7fe6cde42/spas/competition/matches/507302" TargetMode="External"/><Relationship Id="rId43" Type="http://schemas.openxmlformats.org/officeDocument/2006/relationships/hyperlink" Target="https://club.basketball.nl/management/7983f1df-70f8-4def-af89-86b7fe6cde42/spas/competition/matches/505378" TargetMode="External"/><Relationship Id="rId64" Type="http://schemas.openxmlformats.org/officeDocument/2006/relationships/hyperlink" Target="https://club.basketball.nl/management/7983f1df-70f8-4def-af89-86b7fe6cde42/spas/competition/matches/503729" TargetMode="External"/><Relationship Id="rId118" Type="http://schemas.openxmlformats.org/officeDocument/2006/relationships/hyperlink" Target="https://club.basketball.nl/management/7983f1df-70f8-4def-af89-86b7fe6cde42/spas/competition/matches/508470" TargetMode="External"/><Relationship Id="rId139" Type="http://schemas.openxmlformats.org/officeDocument/2006/relationships/hyperlink" Target="https://club.basketball.nl/management/7983f1df-70f8-4def-af89-86b7fe6cde42/spas/competition/matches/511828" TargetMode="External"/><Relationship Id="rId85" Type="http://schemas.openxmlformats.org/officeDocument/2006/relationships/hyperlink" Target="https://club.basketball.nl/management/7983f1df-70f8-4def-af89-86b7fe6cde42/spas/competition/matches/509539" TargetMode="External"/><Relationship Id="rId150" Type="http://schemas.openxmlformats.org/officeDocument/2006/relationships/hyperlink" Target="https://club.basketball.nl/management/7983f1df-70f8-4def-af89-86b7fe6cde42/spas/competition/matches/505456" TargetMode="External"/><Relationship Id="rId12" Type="http://schemas.openxmlformats.org/officeDocument/2006/relationships/hyperlink" Target="https://club.basketball.nl/management/7983f1df-70f8-4def-af89-86b7fe6cde42/spas/competition/matches/507298" TargetMode="External"/><Relationship Id="rId17" Type="http://schemas.openxmlformats.org/officeDocument/2006/relationships/hyperlink" Target="https://club.basketball.nl/management/7983f1df-70f8-4def-af89-86b7fe6cde42/spas/competition/matches/508392" TargetMode="External"/><Relationship Id="rId33" Type="http://schemas.openxmlformats.org/officeDocument/2006/relationships/hyperlink" Target="https://club.basketball.nl/management/7983f1df-70f8-4def-af89-86b7fe6cde42/spas/competition/matches/503705" TargetMode="External"/><Relationship Id="rId38" Type="http://schemas.openxmlformats.org/officeDocument/2006/relationships/hyperlink" Target="https://club.basketball.nl/management/7983f1df-70f8-4def-af89-86b7fe6cde42/spas/competition/matches/503712" TargetMode="External"/><Relationship Id="rId59" Type="http://schemas.openxmlformats.org/officeDocument/2006/relationships/hyperlink" Target="https://club.basketball.nl/management/7983f1df-70f8-4def-af89-86b7fe6cde42/spas/competition/matches/511762" TargetMode="External"/><Relationship Id="rId103" Type="http://schemas.openxmlformats.org/officeDocument/2006/relationships/hyperlink" Target="https://club.basketball.nl/management/7983f1df-70f8-4def-af89-86b7fe6cde42/spas/competition/matches/508452" TargetMode="External"/><Relationship Id="rId108" Type="http://schemas.openxmlformats.org/officeDocument/2006/relationships/hyperlink" Target="https://club.basketball.nl/management/7983f1df-70f8-4def-af89-86b7fe6cde42/spas/competition/matches/510731" TargetMode="External"/><Relationship Id="rId124" Type="http://schemas.openxmlformats.org/officeDocument/2006/relationships/hyperlink" Target="https://club.basketball.nl/management/7983f1df-70f8-4def-af89-86b7fe6cde42/spas/competition/matches/505438" TargetMode="External"/><Relationship Id="rId129" Type="http://schemas.openxmlformats.org/officeDocument/2006/relationships/hyperlink" Target="https://club.basketball.nl/management/7983f1df-70f8-4def-af89-86b7fe6cde42/spas/competition/matches/516551" TargetMode="External"/><Relationship Id="rId54" Type="http://schemas.openxmlformats.org/officeDocument/2006/relationships/hyperlink" Target="https://club.basketball.nl/management/7983f1df-70f8-4def-af89-86b7fe6cde42/spas/competition/matches/509519" TargetMode="External"/><Relationship Id="rId70" Type="http://schemas.openxmlformats.org/officeDocument/2006/relationships/hyperlink" Target="https://club.basketball.nl/management/7983f1df-70f8-4def-af89-86b7fe6cde42/spas/competition/matches/503738" TargetMode="External"/><Relationship Id="rId75" Type="http://schemas.openxmlformats.org/officeDocument/2006/relationships/hyperlink" Target="https://club.basketball.nl/management/7983f1df-70f8-4def-af89-86b7fe6cde42/spas/competition/matches/511775" TargetMode="External"/><Relationship Id="rId91" Type="http://schemas.openxmlformats.org/officeDocument/2006/relationships/hyperlink" Target="https://club.basketball.nl/management/7983f1df-70f8-4def-af89-86b7fe6cde42/spas/competition/matches/503746" TargetMode="External"/><Relationship Id="rId96" Type="http://schemas.openxmlformats.org/officeDocument/2006/relationships/hyperlink" Target="https://club.basketball.nl/management/7983f1df-70f8-4def-af89-86b7fe6cde42/spas/competition/matches/507342" TargetMode="External"/><Relationship Id="rId140" Type="http://schemas.openxmlformats.org/officeDocument/2006/relationships/hyperlink" Target="https://club.basketball.nl/management/7983f1df-70f8-4def-af89-86b7fe6cde42/spas/competition/matches/507364" TargetMode="External"/><Relationship Id="rId145" Type="http://schemas.openxmlformats.org/officeDocument/2006/relationships/hyperlink" Target="https://club.basketball.nl/management/7983f1df-70f8-4def-af89-86b7fe6cde42/spas/competition/matches/507286" TargetMode="External"/><Relationship Id="rId161" Type="http://schemas.openxmlformats.org/officeDocument/2006/relationships/hyperlink" Target="https://club.basketball.nl/management/7983f1df-70f8-4def-af89-86b7fe6cde42/spas/competition/matches/510764" TargetMode="External"/><Relationship Id="rId1" Type="http://schemas.openxmlformats.org/officeDocument/2006/relationships/hyperlink" Target="https://club.basketball.nl/management/7983f1df-70f8-4def-af89-86b7fe6cde42/spas/competition/matches/503686" TargetMode="External"/><Relationship Id="rId6" Type="http://schemas.openxmlformats.org/officeDocument/2006/relationships/hyperlink" Target="https://club.basketball.nl/management/7983f1df-70f8-4def-af89-86b7fe6cde42/spas/competition/matches/507294" TargetMode="External"/><Relationship Id="rId23" Type="http://schemas.openxmlformats.org/officeDocument/2006/relationships/hyperlink" Target="https://club.basketball.nl/management/7983f1df-70f8-4def-af89-86b7fe6cde42/spas/competition/matches/503674" TargetMode="External"/><Relationship Id="rId28" Type="http://schemas.openxmlformats.org/officeDocument/2006/relationships/hyperlink" Target="https://club.basketball.nl/management/7983f1df-70f8-4def-af89-86b7fe6cde42/spas/competition/matches/511744" TargetMode="External"/><Relationship Id="rId49" Type="http://schemas.openxmlformats.org/officeDocument/2006/relationships/hyperlink" Target="https://club.basketball.nl/management/7983f1df-70f8-4def-af89-86b7fe6cde42/spas/competition/matches/509511" TargetMode="External"/><Relationship Id="rId114" Type="http://schemas.openxmlformats.org/officeDocument/2006/relationships/hyperlink" Target="https://club.basketball.nl/management/7983f1df-70f8-4def-af89-86b7fe6cde42/spas/competition/matches/511807" TargetMode="External"/><Relationship Id="rId119" Type="http://schemas.openxmlformats.org/officeDocument/2006/relationships/hyperlink" Target="https://club.basketball.nl/management/7983f1df-70f8-4def-af89-86b7fe6cde42/spas/competition/matches/505429" TargetMode="External"/><Relationship Id="rId44" Type="http://schemas.openxmlformats.org/officeDocument/2006/relationships/hyperlink" Target="https://club.basketball.nl/management/7983f1df-70f8-4def-af89-86b7fe6cde42/spas/competition/matches/516541" TargetMode="External"/><Relationship Id="rId60" Type="http://schemas.openxmlformats.org/officeDocument/2006/relationships/hyperlink" Target="https://club.basketball.nl/management/7983f1df-70f8-4def-af89-86b7fe6cde42/spas/competition/matches/509523" TargetMode="External"/><Relationship Id="rId65" Type="http://schemas.openxmlformats.org/officeDocument/2006/relationships/hyperlink" Target="https://club.basketball.nl/management/7983f1df-70f8-4def-af89-86b7fe6cde42/spas/competition/matches/510704" TargetMode="External"/><Relationship Id="rId81" Type="http://schemas.openxmlformats.org/officeDocument/2006/relationships/hyperlink" Target="https://club.basketball.nl/management/7983f1df-70f8-4def-af89-86b7fe6cde42/spas/competition/matches/510713" TargetMode="External"/><Relationship Id="rId86" Type="http://schemas.openxmlformats.org/officeDocument/2006/relationships/hyperlink" Target="https://club.basketball.nl/management/7983f1df-70f8-4def-af89-86b7fe6cde42/spas/competition/matches/511785" TargetMode="External"/><Relationship Id="rId130" Type="http://schemas.openxmlformats.org/officeDocument/2006/relationships/hyperlink" Target="https://club.basketball.nl/management/7983f1df-70f8-4def-af89-86b7fe6cde42/spas/competition/matches/509578" TargetMode="External"/><Relationship Id="rId135" Type="http://schemas.openxmlformats.org/officeDocument/2006/relationships/hyperlink" Target="https://club.basketball.nl/management/7983f1df-70f8-4def-af89-86b7fe6cde42/spas/competition/matches/507361" TargetMode="External"/><Relationship Id="rId151" Type="http://schemas.openxmlformats.org/officeDocument/2006/relationships/hyperlink" Target="https://club.basketball.nl/management/7983f1df-70f8-4def-af89-86b7fe6cde42/spas/competition/matches/514123" TargetMode="External"/><Relationship Id="rId156" Type="http://schemas.openxmlformats.org/officeDocument/2006/relationships/hyperlink" Target="https://club.basketball.nl/management/7983f1df-70f8-4def-af89-86b7fe6cde42/spas/competition/matches/511840" TargetMode="External"/><Relationship Id="rId13" Type="http://schemas.openxmlformats.org/officeDocument/2006/relationships/hyperlink" Target="https://club.basketball.nl/management/7983f1df-70f8-4def-af89-86b7fe6cde42/spas/competition/matches/511731" TargetMode="External"/><Relationship Id="rId18" Type="http://schemas.openxmlformats.org/officeDocument/2006/relationships/hyperlink" Target="https://club.basketball.nl/management/7983f1df-70f8-4def-af89-86b7fe6cde42/spas/competition/matches/510677" TargetMode="External"/><Relationship Id="rId39" Type="http://schemas.openxmlformats.org/officeDocument/2006/relationships/hyperlink" Target="https://club.basketball.nl/management/7983f1df-70f8-4def-af89-86b7fe6cde42/spas/competition/matches/509506" TargetMode="External"/><Relationship Id="rId109" Type="http://schemas.openxmlformats.org/officeDocument/2006/relationships/hyperlink" Target="https://club.basketball.nl/management/7983f1df-70f8-4def-af89-86b7fe6cde42/spas/competition/matches/507347" TargetMode="External"/><Relationship Id="rId34" Type="http://schemas.openxmlformats.org/officeDocument/2006/relationships/hyperlink" Target="https://club.basketball.nl/management/7983f1df-70f8-4def-af89-86b7fe6cde42/spas/competition/matches/510682" TargetMode="External"/><Relationship Id="rId50" Type="http://schemas.openxmlformats.org/officeDocument/2006/relationships/hyperlink" Target="https://club.basketball.nl/management/7983f1df-70f8-4def-af89-86b7fe6cde42/spas/competition/matches/510693" TargetMode="External"/><Relationship Id="rId55" Type="http://schemas.openxmlformats.org/officeDocument/2006/relationships/hyperlink" Target="https://club.basketball.nl/management/7983f1df-70f8-4def-af89-86b7fe6cde42/spas/competition/matches/508414" TargetMode="External"/><Relationship Id="rId76" Type="http://schemas.openxmlformats.org/officeDocument/2006/relationships/hyperlink" Target="https://club.basketball.nl/management/7983f1df-70f8-4def-af89-86b7fe6cde42/spas/competition/matches/509532" TargetMode="External"/><Relationship Id="rId97" Type="http://schemas.openxmlformats.org/officeDocument/2006/relationships/hyperlink" Target="https://club.basketball.nl/management/7983f1df-70f8-4def-af89-86b7fe6cde42/spas/competition/matches/510723" TargetMode="External"/><Relationship Id="rId104" Type="http://schemas.openxmlformats.org/officeDocument/2006/relationships/hyperlink" Target="https://club.basketball.nl/management/7983f1df-70f8-4def-af89-86b7fe6cde42/spas/competition/matches/511796" TargetMode="External"/><Relationship Id="rId120" Type="http://schemas.openxmlformats.org/officeDocument/2006/relationships/hyperlink" Target="https://club.basketball.nl/management/7983f1df-70f8-4def-af89-86b7fe6cde42/spas/competition/matches/503771" TargetMode="External"/><Relationship Id="rId125" Type="http://schemas.openxmlformats.org/officeDocument/2006/relationships/hyperlink" Target="https://club.basketball.nl/management/7983f1df-70f8-4def-af89-86b7fe6cde42/spas/competition/matches/507356" TargetMode="External"/><Relationship Id="rId141" Type="http://schemas.openxmlformats.org/officeDocument/2006/relationships/hyperlink" Target="https://club.basketball.nl/management/7983f1df-70f8-4def-af89-86b7fe6cde42/spas/competition/matches/509583" TargetMode="External"/><Relationship Id="rId146" Type="http://schemas.openxmlformats.org/officeDocument/2006/relationships/hyperlink" Target="https://club.basketball.nl/management/7983f1df-70f8-4def-af89-86b7fe6cde42/spas/competition/matches/511713" TargetMode="External"/><Relationship Id="rId7" Type="http://schemas.openxmlformats.org/officeDocument/2006/relationships/hyperlink" Target="https://club.basketball.nl/management/7983f1df-70f8-4def-af89-86b7fe6cde42/spas/competition/matches/508388" TargetMode="External"/><Relationship Id="rId71" Type="http://schemas.openxmlformats.org/officeDocument/2006/relationships/hyperlink" Target="https://club.basketball.nl/management/7983f1df-70f8-4def-af89-86b7fe6cde42/spas/competition/matches/509468" TargetMode="External"/><Relationship Id="rId92" Type="http://schemas.openxmlformats.org/officeDocument/2006/relationships/hyperlink" Target="https://club.basketball.nl/management/7983f1df-70f8-4def-af89-86b7fe6cde42/spas/competition/matches/510718" TargetMode="External"/><Relationship Id="rId162" Type="http://schemas.openxmlformats.org/officeDocument/2006/relationships/hyperlink" Target="https://club.basketball.nl/management/7983f1df-70f8-4def-af89-86b7fe6cde42/spas/competition/matches/509595" TargetMode="External"/><Relationship Id="rId2" Type="http://schemas.openxmlformats.org/officeDocument/2006/relationships/hyperlink" Target="https://club.basketball.nl/management/7983f1df-70f8-4def-af89-86b7fe6cde42/spas/competition/matches/511725" TargetMode="External"/><Relationship Id="rId29" Type="http://schemas.openxmlformats.org/officeDocument/2006/relationships/hyperlink" Target="https://club.basketball.nl/management/7983f1df-70f8-4def-af89-86b7fe6cde42/spas/competition/matches/512852" TargetMode="External"/><Relationship Id="rId24" Type="http://schemas.openxmlformats.org/officeDocument/2006/relationships/hyperlink" Target="https://club.basketball.nl/management/7983f1df-70f8-4def-af89-86b7fe6cde42/spas/competition/matches/511749" TargetMode="External"/><Relationship Id="rId40" Type="http://schemas.openxmlformats.org/officeDocument/2006/relationships/hyperlink" Target="https://club.basketball.nl/management/7983f1df-70f8-4def-af89-86b7fe6cde42/spas/competition/matches/507311" TargetMode="External"/><Relationship Id="rId45" Type="http://schemas.openxmlformats.org/officeDocument/2006/relationships/hyperlink" Target="https://club.basketball.nl/management/7983f1df-70f8-4def-af89-86b7fe6cde42/spas/competition/matches/507315" TargetMode="External"/><Relationship Id="rId66" Type="http://schemas.openxmlformats.org/officeDocument/2006/relationships/hyperlink" Target="https://club.basketball.nl/management/7983f1df-70f8-4def-af89-86b7fe6cde42/spas/competition/matches/514112" TargetMode="External"/><Relationship Id="rId87" Type="http://schemas.openxmlformats.org/officeDocument/2006/relationships/hyperlink" Target="https://club.basketball.nl/management/7983f1df-70f8-4def-af89-86b7fe6cde42/spas/competition/matches/511990" TargetMode="External"/><Relationship Id="rId110" Type="http://schemas.openxmlformats.org/officeDocument/2006/relationships/hyperlink" Target="https://club.basketball.nl/management/7983f1df-70f8-4def-af89-86b7fe6cde42/spas/competition/matches/503765" TargetMode="External"/><Relationship Id="rId115" Type="http://schemas.openxmlformats.org/officeDocument/2006/relationships/hyperlink" Target="https://club.basketball.nl/management/7983f1df-70f8-4def-af89-86b7fe6cde42/spas/competition/matches/512863" TargetMode="External"/><Relationship Id="rId131" Type="http://schemas.openxmlformats.org/officeDocument/2006/relationships/hyperlink" Target="https://club.basketball.nl/management/7983f1df-70f8-4def-af89-86b7fe6cde42/spas/competition/matches/508474" TargetMode="External"/><Relationship Id="rId136" Type="http://schemas.openxmlformats.org/officeDocument/2006/relationships/hyperlink" Target="https://club.basketball.nl/management/7983f1df-70f8-4def-af89-86b7fe6cde42/spas/competition/matches/507363" TargetMode="External"/><Relationship Id="rId157" Type="http://schemas.openxmlformats.org/officeDocument/2006/relationships/hyperlink" Target="https://club.basketball.nl/management/7983f1df-70f8-4def-af89-86b7fe6cde42/spas/competition/matches/507375" TargetMode="External"/><Relationship Id="rId61" Type="http://schemas.openxmlformats.org/officeDocument/2006/relationships/hyperlink" Target="https://club.basketball.nl/management/7983f1df-70f8-4def-af89-86b7fe6cde42/spas/competition/matches/511768" TargetMode="External"/><Relationship Id="rId82" Type="http://schemas.openxmlformats.org/officeDocument/2006/relationships/hyperlink" Target="https://club.basketball.nl/management/7983f1df-70f8-4def-af89-86b7fe6cde42/spas/competition/matches/511989" TargetMode="External"/><Relationship Id="rId152" Type="http://schemas.openxmlformats.org/officeDocument/2006/relationships/hyperlink" Target="https://club.basketball.nl/management/7983f1df-70f8-4def-af89-86b7fe6cde42/spas/competition/matches/510756" TargetMode="External"/><Relationship Id="rId19" Type="http://schemas.openxmlformats.org/officeDocument/2006/relationships/hyperlink" Target="https://club.basketball.nl/management/7983f1df-70f8-4def-af89-86b7fe6cde42/spas/competition/matches/511736" TargetMode="External"/><Relationship Id="rId14" Type="http://schemas.openxmlformats.org/officeDocument/2006/relationships/hyperlink" Target="https://club.basketball.nl/management/7983f1df-70f8-4def-af89-86b7fe6cde42/spas/competition/matches/510674" TargetMode="External"/><Relationship Id="rId30" Type="http://schemas.openxmlformats.org/officeDocument/2006/relationships/hyperlink" Target="https://club.basketball.nl/management/7983f1df-70f8-4def-af89-86b7fe6cde42/spas/competition/matches/505366" TargetMode="External"/><Relationship Id="rId35" Type="http://schemas.openxmlformats.org/officeDocument/2006/relationships/hyperlink" Target="https://club.basketball.nl/management/7983f1df-70f8-4def-af89-86b7fe6cde42/spas/competition/matches/509499" TargetMode="External"/><Relationship Id="rId56" Type="http://schemas.openxmlformats.org/officeDocument/2006/relationships/hyperlink" Target="https://club.basketball.nl/management/7983f1df-70f8-4def-af89-86b7fe6cde42/spas/competition/matches/510696" TargetMode="External"/><Relationship Id="rId77" Type="http://schemas.openxmlformats.org/officeDocument/2006/relationships/hyperlink" Target="https://club.basketball.nl/management/7983f1df-70f8-4def-af89-86b7fe6cde42/spas/competition/matches/505397" TargetMode="External"/><Relationship Id="rId100" Type="http://schemas.openxmlformats.org/officeDocument/2006/relationships/hyperlink" Target="https://club.basketball.nl/management/7983f1df-70f8-4def-af89-86b7fe6cde42/spas/competition/matches/509552" TargetMode="External"/><Relationship Id="rId105" Type="http://schemas.openxmlformats.org/officeDocument/2006/relationships/hyperlink" Target="https://club.basketball.nl/management/7983f1df-70f8-4def-af89-86b7fe6cde42/spas/competition/matches/503758" TargetMode="External"/><Relationship Id="rId126" Type="http://schemas.openxmlformats.org/officeDocument/2006/relationships/hyperlink" Target="https://club.basketball.nl/management/7983f1df-70f8-4def-af89-86b7fe6cde42/spas/competition/matches/511816" TargetMode="External"/><Relationship Id="rId147" Type="http://schemas.openxmlformats.org/officeDocument/2006/relationships/hyperlink" Target="https://club.basketball.nl/management/7983f1df-70f8-4def-af89-86b7fe6cde42/spas/competition/matches/503797" TargetMode="External"/><Relationship Id="rId8" Type="http://schemas.openxmlformats.org/officeDocument/2006/relationships/hyperlink" Target="https://club.basketball.nl/management/7983f1df-70f8-4def-af89-86b7fe6cde42/spas/competition/matches/505353" TargetMode="External"/><Relationship Id="rId51" Type="http://schemas.openxmlformats.org/officeDocument/2006/relationships/hyperlink" Target="https://club.basketball.nl/management/7983f1df-70f8-4def-af89-86b7fe6cde42/spas/competition/matches/512855" TargetMode="External"/><Relationship Id="rId72" Type="http://schemas.openxmlformats.org/officeDocument/2006/relationships/hyperlink" Target="https://club.basketball.nl/management/7983f1df-70f8-4def-af89-86b7fe6cde42/spas/competition/matches/508427" TargetMode="External"/><Relationship Id="rId93" Type="http://schemas.openxmlformats.org/officeDocument/2006/relationships/hyperlink" Target="https://club.basketball.nl/management/7983f1df-70f8-4def-af89-86b7fe6cde42/spas/competition/matches/509540" TargetMode="External"/><Relationship Id="rId98" Type="http://schemas.openxmlformats.org/officeDocument/2006/relationships/hyperlink" Target="https://club.basketball.nl/management/7983f1df-70f8-4def-af89-86b7fe6cde42/spas/competition/matches/503757" TargetMode="External"/><Relationship Id="rId121" Type="http://schemas.openxmlformats.org/officeDocument/2006/relationships/hyperlink" Target="https://club.basketball.nl/management/7983f1df-70f8-4def-af89-86b7fe6cde42/spas/competition/matches/508463" TargetMode="External"/><Relationship Id="rId142" Type="http://schemas.openxmlformats.org/officeDocument/2006/relationships/hyperlink" Target="https://club.basketball.nl/management/7983f1df-70f8-4def-af89-86b7fe6cde42/spas/competition/matches/508485" TargetMode="External"/><Relationship Id="rId3" Type="http://schemas.openxmlformats.org/officeDocument/2006/relationships/hyperlink" Target="https://club.basketball.nl/management/7983f1df-70f8-4def-af89-86b7fe6cde42/spas/competition/matches/505347" TargetMode="External"/><Relationship Id="rId25" Type="http://schemas.openxmlformats.org/officeDocument/2006/relationships/hyperlink" Target="https://club.basketball.nl/management/7983f1df-70f8-4def-af89-86b7fe6cde42/spas/competition/matches/510658" TargetMode="External"/><Relationship Id="rId46" Type="http://schemas.openxmlformats.org/officeDocument/2006/relationships/hyperlink" Target="https://club.basketball.nl/management/7983f1df-70f8-4def-af89-86b7fe6cde42/spas/competition/matches/511756" TargetMode="External"/><Relationship Id="rId67" Type="http://schemas.openxmlformats.org/officeDocument/2006/relationships/hyperlink" Target="https://club.basketball.nl/management/7983f1df-70f8-4def-af89-86b7fe6cde42/spas/competition/matches/505390" TargetMode="External"/><Relationship Id="rId116" Type="http://schemas.openxmlformats.org/officeDocument/2006/relationships/hyperlink" Target="https://club.basketball.nl/management/7983f1df-70f8-4def-af89-86b7fe6cde42/spas/competition/matches/505430" TargetMode="External"/><Relationship Id="rId137" Type="http://schemas.openxmlformats.org/officeDocument/2006/relationships/hyperlink" Target="https://club.basketball.nl/management/7983f1df-70f8-4def-af89-86b7fe6cde42/spas/competition/matches/512866" TargetMode="External"/><Relationship Id="rId158" Type="http://schemas.openxmlformats.org/officeDocument/2006/relationships/hyperlink" Target="https://club.basketball.nl/management/7983f1df-70f8-4def-af89-86b7fe6cde42/spas/competition/matches/508496" TargetMode="External"/><Relationship Id="rId20" Type="http://schemas.openxmlformats.org/officeDocument/2006/relationships/hyperlink" Target="https://club.basketball.nl/management/7983f1df-70f8-4def-af89-86b7fe6cde42/spas/competition/matches/509493" TargetMode="External"/><Relationship Id="rId41" Type="http://schemas.openxmlformats.org/officeDocument/2006/relationships/hyperlink" Target="https://club.basketball.nl/management/7983f1df-70f8-4def-af89-86b7fe6cde42/spas/competition/matches/505371" TargetMode="External"/><Relationship Id="rId62" Type="http://schemas.openxmlformats.org/officeDocument/2006/relationships/hyperlink" Target="https://club.basketball.nl/management/7983f1df-70f8-4def-af89-86b7fe6cde42/spas/competition/matches/507326" TargetMode="External"/><Relationship Id="rId83" Type="http://schemas.openxmlformats.org/officeDocument/2006/relationships/hyperlink" Target="https://club.basketball.nl/management/7983f1df-70f8-4def-af89-86b7fe6cde42/spas/competition/matches/511782" TargetMode="External"/><Relationship Id="rId88" Type="http://schemas.openxmlformats.org/officeDocument/2006/relationships/hyperlink" Target="https://club.basketball.nl/management/7983f1df-70f8-4def-af89-86b7fe6cde42/spas/competition/matches/508441" TargetMode="External"/><Relationship Id="rId111" Type="http://schemas.openxmlformats.org/officeDocument/2006/relationships/hyperlink" Target="https://club.basketball.nl/management/7983f1df-70f8-4def-af89-86b7fe6cde42/spas/competition/matches/507351" TargetMode="External"/><Relationship Id="rId132" Type="http://schemas.openxmlformats.org/officeDocument/2006/relationships/hyperlink" Target="https://club.basketball.nl/management/7983f1df-70f8-4def-af89-86b7fe6cde42/spas/competition/matches/510746" TargetMode="External"/><Relationship Id="rId153" Type="http://schemas.openxmlformats.org/officeDocument/2006/relationships/hyperlink" Target="https://club.basketball.nl/management/7983f1df-70f8-4def-af89-86b7fe6cde42/spas/competition/matches/507370" TargetMode="External"/><Relationship Id="rId15" Type="http://schemas.openxmlformats.org/officeDocument/2006/relationships/hyperlink" Target="https://club.basketball.nl/management/7983f1df-70f8-4def-af89-86b7fe6cde42/spas/competition/matches/503699" TargetMode="External"/><Relationship Id="rId36" Type="http://schemas.openxmlformats.org/officeDocument/2006/relationships/hyperlink" Target="https://club.basketball.nl/management/7983f1df-70f8-4def-af89-86b7fe6cde42/spas/competition/matches/508403" TargetMode="External"/><Relationship Id="rId57" Type="http://schemas.openxmlformats.org/officeDocument/2006/relationships/hyperlink" Target="https://club.basketball.nl/management/7983f1df-70f8-4def-af89-86b7fe6cde42/spas/competition/matches/507321" TargetMode="External"/><Relationship Id="rId106" Type="http://schemas.openxmlformats.org/officeDocument/2006/relationships/hyperlink" Target="https://club.basketball.nl/management/7983f1df-70f8-4def-af89-86b7fe6cde42/spas/competition/matches/507343" TargetMode="External"/><Relationship Id="rId127" Type="http://schemas.openxmlformats.org/officeDocument/2006/relationships/hyperlink" Target="https://club.basketball.nl/management/7983f1df-70f8-4def-af89-86b7fe6cde42/spas/competition/matches/507359" TargetMode="External"/><Relationship Id="rId10" Type="http://schemas.openxmlformats.org/officeDocument/2006/relationships/hyperlink" Target="https://club.basketball.nl/management/7983f1df-70f8-4def-af89-86b7fe6cde42/spas/competition/matches/503693" TargetMode="External"/><Relationship Id="rId31" Type="http://schemas.openxmlformats.org/officeDocument/2006/relationships/hyperlink" Target="https://club.basketball.nl/management/7983f1df-70f8-4def-af89-86b7fe6cde42/spas/competition/matches/507310" TargetMode="External"/><Relationship Id="rId52" Type="http://schemas.openxmlformats.org/officeDocument/2006/relationships/hyperlink" Target="https://club.basketball.nl/management/7983f1df-70f8-4def-af89-86b7fe6cde42/spas/competition/matches/511906" TargetMode="External"/><Relationship Id="rId73" Type="http://schemas.openxmlformats.org/officeDocument/2006/relationships/hyperlink" Target="https://club.basketball.nl/management/7983f1df-70f8-4def-af89-86b7fe6cde42/spas/competition/matches/507327" TargetMode="External"/><Relationship Id="rId78" Type="http://schemas.openxmlformats.org/officeDocument/2006/relationships/hyperlink" Target="https://club.basketball.nl/management/7983f1df-70f8-4def-af89-86b7fe6cde42/spas/competition/matches/507330" TargetMode="External"/><Relationship Id="rId94" Type="http://schemas.openxmlformats.org/officeDocument/2006/relationships/hyperlink" Target="https://club.basketball.nl/management/7983f1df-70f8-4def-af89-86b7fe6cde42/spas/competition/matches/505412" TargetMode="External"/><Relationship Id="rId99" Type="http://schemas.openxmlformats.org/officeDocument/2006/relationships/hyperlink" Target="https://club.basketball.nl/management/7983f1df-70f8-4def-af89-86b7fe6cde42/spas/competition/matches/509551" TargetMode="External"/><Relationship Id="rId101" Type="http://schemas.openxmlformats.org/officeDocument/2006/relationships/hyperlink" Target="https://club.basketball.nl/management/7983f1df-70f8-4def-af89-86b7fe6cde42/spas/competition/matches/505418" TargetMode="External"/><Relationship Id="rId122" Type="http://schemas.openxmlformats.org/officeDocument/2006/relationships/hyperlink" Target="https://club.basketball.nl/management/7983f1df-70f8-4def-af89-86b7fe6cde42/spas/competition/matches/510736" TargetMode="External"/><Relationship Id="rId143" Type="http://schemas.openxmlformats.org/officeDocument/2006/relationships/hyperlink" Target="https://club.basketball.nl/management/7983f1df-70f8-4def-af89-86b7fe6cde42/spas/competition/matches/508369" TargetMode="External"/><Relationship Id="rId148" Type="http://schemas.openxmlformats.org/officeDocument/2006/relationships/hyperlink" Target="https://club.basketball.nl/management/7983f1df-70f8-4def-af89-86b7fe6cde42/spas/competition/matches/508486" TargetMode="External"/><Relationship Id="rId4" Type="http://schemas.openxmlformats.org/officeDocument/2006/relationships/hyperlink" Target="https://club.basketball.nl/management/7983f1df-70f8-4def-af89-86b7fe6cde42/spas/competition/matches/510668" TargetMode="External"/><Relationship Id="rId9" Type="http://schemas.openxmlformats.org/officeDocument/2006/relationships/hyperlink" Target="https://club.basketball.nl/management/7983f1df-70f8-4def-af89-86b7fe6cde42/spas/competition/matches/509487" TargetMode="External"/><Relationship Id="rId26" Type="http://schemas.openxmlformats.org/officeDocument/2006/relationships/hyperlink" Target="https://club.basketball.nl/management/7983f1df-70f8-4def-af89-86b7fe6cde42/spas/competition/matches/511980" TargetMode="External"/><Relationship Id="rId47" Type="http://schemas.openxmlformats.org/officeDocument/2006/relationships/hyperlink" Target="https://club.basketball.nl/management/7983f1df-70f8-4def-af89-86b7fe6cde42/spas/competition/matches/503717" TargetMode="External"/><Relationship Id="rId68" Type="http://schemas.openxmlformats.org/officeDocument/2006/relationships/hyperlink" Target="https://club.basketball.nl/management/7983f1df-70f8-4def-af89-86b7fe6cde42/spas/competition/matches/507323" TargetMode="External"/><Relationship Id="rId89" Type="http://schemas.openxmlformats.org/officeDocument/2006/relationships/hyperlink" Target="https://club.basketball.nl/management/7983f1df-70f8-4def-af89-86b7fe6cde42/spas/competition/matches/511917" TargetMode="External"/><Relationship Id="rId112" Type="http://schemas.openxmlformats.org/officeDocument/2006/relationships/hyperlink" Target="https://club.basketball.nl/management/7983f1df-70f8-4def-af89-86b7fe6cde42/spas/competition/matches/508456" TargetMode="External"/><Relationship Id="rId133" Type="http://schemas.openxmlformats.org/officeDocument/2006/relationships/hyperlink" Target="https://club.basketball.nl/management/7983f1df-70f8-4def-af89-86b7fe6cde42/spas/competition/matches/511821" TargetMode="External"/><Relationship Id="rId154" Type="http://schemas.openxmlformats.org/officeDocument/2006/relationships/hyperlink" Target="https://club.basketball.nl/management/7983f1df-70f8-4def-af89-86b7fe6cde42/spas/competition/matches/507371" TargetMode="External"/><Relationship Id="rId16" Type="http://schemas.openxmlformats.org/officeDocument/2006/relationships/hyperlink" Target="https://club.basketball.nl/management/7983f1df-70f8-4def-af89-86b7fe6cde42/spas/competition/matches/505358" TargetMode="External"/><Relationship Id="rId37" Type="http://schemas.openxmlformats.org/officeDocument/2006/relationships/hyperlink" Target="https://club.basketball.nl/management/7983f1df-70f8-4def-af89-86b7fe6cde42/spas/competition/matches/507312" TargetMode="External"/><Relationship Id="rId58" Type="http://schemas.openxmlformats.org/officeDocument/2006/relationships/hyperlink" Target="https://club.basketball.nl/management/7983f1df-70f8-4def-af89-86b7fe6cde42/spas/competition/matches/503725" TargetMode="External"/><Relationship Id="rId79" Type="http://schemas.openxmlformats.org/officeDocument/2006/relationships/hyperlink" Target="https://club.basketball.nl/management/7983f1df-70f8-4def-af89-86b7fe6cde42/spas/competition/matches/508434" TargetMode="External"/><Relationship Id="rId102" Type="http://schemas.openxmlformats.org/officeDocument/2006/relationships/hyperlink" Target="https://club.basketball.nl/management/7983f1df-70f8-4def-af89-86b7fe6cde42/spas/competition/matches/510727" TargetMode="External"/><Relationship Id="rId123" Type="http://schemas.openxmlformats.org/officeDocument/2006/relationships/hyperlink" Target="https://club.basketball.nl/management/7983f1df-70f8-4def-af89-86b7fe6cde42/spas/competition/matches/511808" TargetMode="External"/><Relationship Id="rId144" Type="http://schemas.openxmlformats.org/officeDocument/2006/relationships/hyperlink" Target="https://club.basketball.nl/management/7983f1df-70f8-4def-af89-86b7fe6cde42/spas/competition/matches/511979" TargetMode="External"/><Relationship Id="rId90" Type="http://schemas.openxmlformats.org/officeDocument/2006/relationships/hyperlink" Target="https://club.basketball.nl/management/7983f1df-70f8-4def-af89-86b7fe6cde42/spas/competition/matches/507338" TargetMode="External"/><Relationship Id="rId27" Type="http://schemas.openxmlformats.org/officeDocument/2006/relationships/hyperlink" Target="https://club.basketball.nl/management/7983f1df-70f8-4def-af89-86b7fe6cde42/spas/competition/matches/507290" TargetMode="External"/><Relationship Id="rId48" Type="http://schemas.openxmlformats.org/officeDocument/2006/relationships/hyperlink" Target="https://club.basketball.nl/management/7983f1df-70f8-4def-af89-86b7fe6cde42/spas/competition/matches/507318" TargetMode="External"/><Relationship Id="rId69" Type="http://schemas.openxmlformats.org/officeDocument/2006/relationships/hyperlink" Target="https://club.basketball.nl/management/7983f1df-70f8-4def-af89-86b7fe6cde42/spas/competition/matches/512454" TargetMode="External"/><Relationship Id="rId113" Type="http://schemas.openxmlformats.org/officeDocument/2006/relationships/hyperlink" Target="https://club.basketball.nl/management/7983f1df-70f8-4def-af89-86b7fe6cde42/spas/competition/matches/509559" TargetMode="External"/><Relationship Id="rId134" Type="http://schemas.openxmlformats.org/officeDocument/2006/relationships/hyperlink" Target="https://club.basketball.nl/management/7983f1df-70f8-4def-af89-86b7fe6cde42/spas/competition/matches/503784" TargetMode="External"/><Relationship Id="rId80" Type="http://schemas.openxmlformats.org/officeDocument/2006/relationships/hyperlink" Target="https://club.basketball.nl/management/7983f1df-70f8-4def-af89-86b7fe6cde42/spas/competition/matches/503745" TargetMode="External"/><Relationship Id="rId155" Type="http://schemas.openxmlformats.org/officeDocument/2006/relationships/hyperlink" Target="https://club.basketball.nl/management/7983f1df-70f8-4def-af89-86b7fe6cde42/spas/competition/matches/5038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3"/>
  <sheetViews>
    <sheetView tabSelected="1" topLeftCell="B1" workbookViewId="0">
      <pane ySplit="1" topLeftCell="A2" activePane="bottomLeft" state="frozen"/>
      <selection pane="bottomLeft" activeCell="F18" sqref="F18"/>
    </sheetView>
  </sheetViews>
  <sheetFormatPr defaultColWidth="12.6328125" defaultRowHeight="15.75" customHeight="1" x14ac:dyDescent="0.25"/>
  <cols>
    <col min="1" max="1" width="17.36328125" customWidth="1"/>
    <col min="2" max="2" width="16.08984375" customWidth="1"/>
    <col min="3" max="3" width="19" customWidth="1"/>
    <col min="4" max="4" width="35.453125" customWidth="1"/>
    <col min="6" max="6" width="34.6328125" customWidth="1"/>
    <col min="7" max="7" width="33" customWidth="1"/>
    <col min="8" max="8" width="43.81640625" customWidth="1"/>
    <col min="9" max="9" width="33" customWidth="1"/>
    <col min="10" max="10" width="29.453125" customWidth="1"/>
    <col min="11" max="11" width="35.08984375" customWidth="1"/>
  </cols>
  <sheetData>
    <row r="1" spans="1:26" ht="15.75" customHeight="1" x14ac:dyDescent="0.35">
      <c r="A1" s="4" t="s">
        <v>257</v>
      </c>
      <c r="B1" s="4" t="s">
        <v>258</v>
      </c>
      <c r="C1" s="4" t="s">
        <v>259</v>
      </c>
      <c r="D1" s="4" t="s">
        <v>260</v>
      </c>
      <c r="E1" s="4" t="s">
        <v>261</v>
      </c>
      <c r="F1" s="7" t="s">
        <v>262</v>
      </c>
      <c r="G1" s="7" t="s">
        <v>263</v>
      </c>
      <c r="H1" s="9" t="s">
        <v>264</v>
      </c>
      <c r="I1" s="9" t="s">
        <v>265</v>
      </c>
      <c r="J1" s="9" t="s">
        <v>266</v>
      </c>
      <c r="K1" s="9" t="s">
        <v>267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5" customHeight="1" x14ac:dyDescent="0.35">
      <c r="A2" s="10" t="s">
        <v>268</v>
      </c>
      <c r="B2" s="11" t="s">
        <v>269</v>
      </c>
      <c r="C2" s="10" t="s">
        <v>270</v>
      </c>
      <c r="D2" s="10" t="s">
        <v>271</v>
      </c>
      <c r="E2" s="10" t="s">
        <v>272</v>
      </c>
      <c r="F2" s="12"/>
      <c r="G2" s="10"/>
      <c r="H2" s="12"/>
      <c r="I2" s="12"/>
      <c r="J2" s="12"/>
      <c r="L2" t="s">
        <v>273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5" customHeight="1" x14ac:dyDescent="0.35">
      <c r="A3" s="10" t="s">
        <v>268</v>
      </c>
      <c r="B3" s="11" t="s">
        <v>269</v>
      </c>
      <c r="C3" s="10" t="s">
        <v>274</v>
      </c>
      <c r="D3" s="10" t="s">
        <v>275</v>
      </c>
      <c r="E3" s="10" t="s">
        <v>276</v>
      </c>
      <c r="F3" s="12"/>
      <c r="G3" s="10"/>
      <c r="H3" s="10"/>
      <c r="I3" s="12"/>
      <c r="J3" s="12"/>
      <c r="L3" t="s">
        <v>277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5" customHeight="1" x14ac:dyDescent="0.35">
      <c r="A4" s="10" t="s">
        <v>268</v>
      </c>
      <c r="B4" s="11" t="s">
        <v>278</v>
      </c>
      <c r="C4" s="10" t="s">
        <v>279</v>
      </c>
      <c r="D4" s="10" t="s">
        <v>280</v>
      </c>
      <c r="E4" s="10" t="s">
        <v>272</v>
      </c>
      <c r="F4" s="10"/>
      <c r="G4" s="10"/>
      <c r="H4" s="10"/>
      <c r="I4" s="12"/>
      <c r="J4" s="12"/>
      <c r="L4" t="s">
        <v>281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5" customHeight="1" x14ac:dyDescent="0.35">
      <c r="A5" s="10" t="s">
        <v>268</v>
      </c>
      <c r="B5" s="11" t="s">
        <v>278</v>
      </c>
      <c r="C5" s="10" t="s">
        <v>282</v>
      </c>
      <c r="D5" s="10" t="s">
        <v>283</v>
      </c>
      <c r="E5" s="10" t="s">
        <v>276</v>
      </c>
      <c r="F5" s="12"/>
      <c r="G5" s="12"/>
      <c r="H5" s="12"/>
      <c r="I5" s="12"/>
      <c r="J5" s="12"/>
      <c r="L5" t="s">
        <v>273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5" customHeight="1" x14ac:dyDescent="0.35">
      <c r="A6" s="10"/>
      <c r="B6" s="11"/>
      <c r="C6" s="10"/>
      <c r="D6" s="10"/>
      <c r="E6" s="10"/>
      <c r="F6" s="10"/>
      <c r="G6" s="10"/>
      <c r="H6" s="10"/>
      <c r="I6" s="12"/>
      <c r="J6" s="12"/>
      <c r="L6" t="s">
        <v>273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5" customHeight="1" x14ac:dyDescent="0.35">
      <c r="A7" s="10" t="s">
        <v>284</v>
      </c>
      <c r="B7" s="11" t="s">
        <v>285</v>
      </c>
      <c r="C7" s="10" t="s">
        <v>286</v>
      </c>
      <c r="D7" s="10" t="s">
        <v>287</v>
      </c>
      <c r="E7" s="10" t="s">
        <v>288</v>
      </c>
      <c r="F7" s="10"/>
      <c r="G7" s="10"/>
      <c r="H7" s="12"/>
      <c r="I7" s="12"/>
      <c r="J7" s="12"/>
      <c r="L7" t="s">
        <v>289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5" customHeight="1" x14ac:dyDescent="0.35">
      <c r="A8" s="10" t="s">
        <v>284</v>
      </c>
      <c r="B8" s="11" t="s">
        <v>290</v>
      </c>
      <c r="C8" s="10" t="s">
        <v>291</v>
      </c>
      <c r="D8" s="10" t="s">
        <v>292</v>
      </c>
      <c r="E8" s="10" t="s">
        <v>288</v>
      </c>
      <c r="F8" s="12"/>
      <c r="G8" s="12"/>
      <c r="H8" s="12"/>
      <c r="I8" s="12"/>
      <c r="J8" s="12"/>
      <c r="K8" s="10"/>
      <c r="L8" s="10" t="s">
        <v>277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5" customHeight="1" x14ac:dyDescent="0.35">
      <c r="A9" s="10"/>
      <c r="B9" s="11"/>
      <c r="C9" s="10"/>
      <c r="D9" s="10"/>
      <c r="E9" s="10"/>
      <c r="F9" s="10"/>
      <c r="G9" s="10"/>
      <c r="H9" s="10"/>
      <c r="I9" s="12"/>
      <c r="J9" s="12"/>
      <c r="K9" s="10"/>
      <c r="L9" s="10" t="s">
        <v>273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5" customHeight="1" x14ac:dyDescent="0.35">
      <c r="A10" s="10" t="s">
        <v>293</v>
      </c>
      <c r="B10" s="11" t="s">
        <v>294</v>
      </c>
      <c r="C10" s="10" t="s">
        <v>291</v>
      </c>
      <c r="D10" s="10" t="s">
        <v>295</v>
      </c>
      <c r="E10" s="10" t="s">
        <v>276</v>
      </c>
      <c r="F10" s="10"/>
      <c r="G10" s="10"/>
      <c r="H10" s="12"/>
      <c r="I10" s="12"/>
      <c r="J10" s="12"/>
      <c r="K10" s="10"/>
      <c r="L10" s="10" t="s">
        <v>277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5" customHeight="1" x14ac:dyDescent="0.35">
      <c r="A11" s="10" t="s">
        <v>293</v>
      </c>
      <c r="B11" s="11" t="s">
        <v>296</v>
      </c>
      <c r="C11" s="10" t="s">
        <v>274</v>
      </c>
      <c r="D11" s="10" t="s">
        <v>297</v>
      </c>
      <c r="E11" s="10" t="s">
        <v>272</v>
      </c>
      <c r="F11" s="12"/>
      <c r="G11" s="10"/>
      <c r="H11" s="12"/>
      <c r="I11" s="12"/>
      <c r="J11" s="12"/>
      <c r="K11" s="10"/>
      <c r="L11" s="10" t="s">
        <v>277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5" customHeight="1" x14ac:dyDescent="0.35">
      <c r="A12" s="10" t="s">
        <v>293</v>
      </c>
      <c r="B12" s="11" t="s">
        <v>296</v>
      </c>
      <c r="C12" s="10" t="s">
        <v>292</v>
      </c>
      <c r="D12" s="10" t="s">
        <v>298</v>
      </c>
      <c r="E12" s="10" t="s">
        <v>276</v>
      </c>
      <c r="F12" s="12"/>
      <c r="G12" s="12"/>
      <c r="H12" s="12"/>
      <c r="I12" s="12"/>
      <c r="J12" s="12"/>
      <c r="K12" s="10"/>
      <c r="L12" s="10" t="s">
        <v>277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5" customHeight="1" x14ac:dyDescent="0.35">
      <c r="A13" s="10" t="s">
        <v>293</v>
      </c>
      <c r="B13" s="11" t="s">
        <v>299</v>
      </c>
      <c r="C13" s="10" t="s">
        <v>286</v>
      </c>
      <c r="D13" s="10" t="s">
        <v>300</v>
      </c>
      <c r="E13" s="10" t="s">
        <v>288</v>
      </c>
      <c r="F13" s="10"/>
      <c r="G13" s="10"/>
      <c r="H13" s="12"/>
      <c r="I13" s="12"/>
      <c r="J13" s="12"/>
      <c r="K13" s="10"/>
      <c r="L13" s="10" t="s">
        <v>289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5" customHeight="1" x14ac:dyDescent="0.35">
      <c r="A14" s="10"/>
      <c r="B14" s="11"/>
      <c r="C14" s="10"/>
      <c r="D14" s="10"/>
      <c r="E14" s="10"/>
      <c r="F14" s="10"/>
      <c r="G14" s="10"/>
      <c r="H14" s="10"/>
      <c r="I14" s="12"/>
      <c r="J14" s="12"/>
      <c r="K14" s="10"/>
      <c r="L14" s="10" t="s">
        <v>273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5" customHeight="1" x14ac:dyDescent="0.35">
      <c r="A15" s="10" t="s">
        <v>301</v>
      </c>
      <c r="B15" s="11" t="s">
        <v>269</v>
      </c>
      <c r="C15" s="10" t="s">
        <v>279</v>
      </c>
      <c r="D15" s="10" t="s">
        <v>302</v>
      </c>
      <c r="E15" s="10" t="s">
        <v>272</v>
      </c>
      <c r="F15" s="12"/>
      <c r="G15" s="10"/>
      <c r="H15" s="12"/>
      <c r="I15" s="12"/>
      <c r="J15" s="12"/>
      <c r="K15" s="10"/>
      <c r="L15" s="10" t="s">
        <v>281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5" customHeight="1" x14ac:dyDescent="0.35">
      <c r="A16" s="10" t="s">
        <v>301</v>
      </c>
      <c r="B16" s="11" t="s">
        <v>269</v>
      </c>
      <c r="C16" s="10" t="s">
        <v>303</v>
      </c>
      <c r="D16" s="10" t="s">
        <v>304</v>
      </c>
      <c r="E16" s="10" t="s">
        <v>276</v>
      </c>
      <c r="F16" s="12"/>
      <c r="G16" s="12"/>
      <c r="H16" s="10"/>
      <c r="I16" s="12"/>
      <c r="J16" s="12"/>
      <c r="K16" s="10"/>
      <c r="L16" s="10" t="s">
        <v>281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5" customHeight="1" x14ac:dyDescent="0.35">
      <c r="A17" s="10" t="s">
        <v>301</v>
      </c>
      <c r="B17" s="11" t="s">
        <v>278</v>
      </c>
      <c r="C17" s="10" t="s">
        <v>270</v>
      </c>
      <c r="D17" s="10" t="s">
        <v>305</v>
      </c>
      <c r="E17" s="10" t="s">
        <v>272</v>
      </c>
      <c r="F17" s="10"/>
      <c r="G17" s="10"/>
      <c r="H17" s="12"/>
      <c r="I17" s="12"/>
      <c r="J17" s="12"/>
      <c r="K17" s="10"/>
      <c r="L17" s="10" t="s">
        <v>273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5" customHeight="1" x14ac:dyDescent="0.35">
      <c r="A18" s="10" t="s">
        <v>301</v>
      </c>
      <c r="B18" s="11" t="s">
        <v>278</v>
      </c>
      <c r="C18" s="10" t="s">
        <v>282</v>
      </c>
      <c r="D18" s="10" t="s">
        <v>306</v>
      </c>
      <c r="E18" s="10" t="s">
        <v>276</v>
      </c>
      <c r="F18" s="12"/>
      <c r="G18" s="12"/>
      <c r="H18" s="10"/>
      <c r="I18" s="12"/>
      <c r="J18" s="12"/>
      <c r="K18" s="10"/>
      <c r="L18" s="10" t="s">
        <v>273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5" customHeight="1" x14ac:dyDescent="0.35">
      <c r="A19" s="13"/>
      <c r="B19" s="13"/>
      <c r="C19" s="13"/>
      <c r="D19" s="13"/>
      <c r="E19" s="13"/>
      <c r="F19" s="10"/>
      <c r="G19" s="10"/>
      <c r="H19" s="10"/>
      <c r="I19" s="12"/>
      <c r="J19" s="12"/>
      <c r="K19" s="10"/>
      <c r="L19" s="10" t="s">
        <v>273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5" customHeight="1" x14ac:dyDescent="0.35">
      <c r="A20" s="10" t="s">
        <v>307</v>
      </c>
      <c r="B20" s="11" t="s">
        <v>308</v>
      </c>
      <c r="C20" s="10" t="s">
        <v>270</v>
      </c>
      <c r="D20" s="10" t="s">
        <v>309</v>
      </c>
      <c r="E20" s="10" t="s">
        <v>272</v>
      </c>
      <c r="F20" s="10"/>
      <c r="G20" s="10"/>
      <c r="H20" s="12"/>
      <c r="I20" s="12"/>
      <c r="J20" s="12"/>
      <c r="K20" s="10"/>
      <c r="L20" s="10" t="s">
        <v>273</v>
      </c>
      <c r="M20" s="10"/>
      <c r="N20" s="10"/>
      <c r="O20" s="10"/>
      <c r="P20" s="10"/>
      <c r="Q20" s="10"/>
      <c r="W20" s="10"/>
      <c r="X20" s="10"/>
      <c r="Y20" s="10"/>
      <c r="Z20" s="10"/>
    </row>
    <row r="21" spans="1:26" ht="15.5" customHeight="1" x14ac:dyDescent="0.35">
      <c r="A21" s="10" t="s">
        <v>307</v>
      </c>
      <c r="B21" s="11" t="s">
        <v>308</v>
      </c>
      <c r="C21" s="10" t="s">
        <v>291</v>
      </c>
      <c r="D21" s="10" t="s">
        <v>310</v>
      </c>
      <c r="E21" s="10" t="s">
        <v>276</v>
      </c>
      <c r="F21" s="10"/>
      <c r="G21" s="10"/>
      <c r="H21" s="10"/>
      <c r="I21" s="12"/>
      <c r="J21" s="12"/>
      <c r="K21" s="10"/>
      <c r="L21" s="10" t="s">
        <v>277</v>
      </c>
      <c r="M21" s="10"/>
      <c r="N21" s="10"/>
      <c r="O21" s="10"/>
      <c r="P21" s="10"/>
      <c r="Q21" s="10"/>
      <c r="W21" s="10"/>
      <c r="X21" s="10"/>
      <c r="Y21" s="10"/>
      <c r="Z21" s="10"/>
    </row>
    <row r="22" spans="1:26" ht="15.5" customHeight="1" x14ac:dyDescent="0.35">
      <c r="A22" s="10" t="s">
        <v>307</v>
      </c>
      <c r="B22" s="11" t="s">
        <v>269</v>
      </c>
      <c r="C22" s="10" t="s">
        <v>292</v>
      </c>
      <c r="D22" s="10" t="s">
        <v>311</v>
      </c>
      <c r="E22" s="10" t="s">
        <v>272</v>
      </c>
      <c r="F22" s="10"/>
      <c r="G22" s="10"/>
      <c r="H22" s="10"/>
      <c r="I22" s="12"/>
      <c r="J22" s="12"/>
      <c r="K22" s="10"/>
      <c r="L22" s="10" t="s">
        <v>277</v>
      </c>
      <c r="M22" s="10"/>
      <c r="N22" s="10"/>
      <c r="O22" s="10"/>
      <c r="P22" s="10"/>
      <c r="Q22" s="10"/>
      <c r="W22" s="10"/>
      <c r="X22" s="10"/>
      <c r="Y22" s="10"/>
      <c r="Z22" s="10"/>
    </row>
    <row r="23" spans="1:26" ht="15.5" customHeight="1" x14ac:dyDescent="0.35">
      <c r="A23" s="10" t="s">
        <v>307</v>
      </c>
      <c r="B23" s="11" t="s">
        <v>269</v>
      </c>
      <c r="C23" s="10" t="s">
        <v>279</v>
      </c>
      <c r="D23" s="10" t="s">
        <v>312</v>
      </c>
      <c r="E23" s="10" t="s">
        <v>276</v>
      </c>
      <c r="F23" s="10"/>
      <c r="G23" s="10"/>
      <c r="H23" s="10"/>
      <c r="I23" s="12"/>
      <c r="J23" s="12"/>
      <c r="K23" s="10"/>
      <c r="L23" s="10" t="s">
        <v>281</v>
      </c>
      <c r="M23" s="10"/>
      <c r="N23" s="10"/>
      <c r="O23" s="10"/>
      <c r="P23" s="10"/>
      <c r="Q23" s="10"/>
      <c r="W23" s="10"/>
      <c r="X23" s="10"/>
      <c r="Y23" s="10"/>
      <c r="Z23" s="10"/>
    </row>
    <row r="24" spans="1:26" ht="15.5" customHeight="1" x14ac:dyDescent="0.35">
      <c r="A24" s="10" t="s">
        <v>307</v>
      </c>
      <c r="B24" s="11" t="s">
        <v>278</v>
      </c>
      <c r="C24" s="10" t="s">
        <v>274</v>
      </c>
      <c r="D24" s="10" t="s">
        <v>313</v>
      </c>
      <c r="E24" s="10" t="s">
        <v>272</v>
      </c>
      <c r="F24" s="10"/>
      <c r="G24" s="10"/>
      <c r="H24" s="10"/>
      <c r="I24" s="12"/>
      <c r="J24" s="12"/>
      <c r="K24" s="10"/>
      <c r="L24" s="10" t="s">
        <v>277</v>
      </c>
      <c r="M24" s="10"/>
      <c r="N24" s="10"/>
      <c r="O24" s="10"/>
      <c r="P24" s="10"/>
      <c r="Q24" s="10"/>
      <c r="W24" s="10"/>
      <c r="X24" s="10"/>
      <c r="Y24" s="10"/>
      <c r="Z24" s="10"/>
    </row>
    <row r="25" spans="1:26" ht="15.5" customHeight="1" x14ac:dyDescent="0.35">
      <c r="A25" s="10"/>
      <c r="B25" s="11"/>
      <c r="C25" s="10"/>
      <c r="D25" s="10"/>
      <c r="E25" s="10"/>
      <c r="F25" s="10"/>
      <c r="G25" s="10"/>
      <c r="H25" s="10"/>
      <c r="I25" s="12"/>
      <c r="J25" s="12"/>
      <c r="K25" s="8"/>
      <c r="L25" s="10" t="s">
        <v>273</v>
      </c>
      <c r="M25" s="10"/>
      <c r="N25" s="10"/>
      <c r="O25" s="10"/>
      <c r="P25" s="10"/>
      <c r="Q25" s="10"/>
      <c r="W25" s="10"/>
      <c r="X25" s="10"/>
      <c r="Y25" s="10"/>
      <c r="Z25" s="10"/>
    </row>
    <row r="26" spans="1:26" ht="15.5" customHeight="1" x14ac:dyDescent="0.35">
      <c r="A26" s="10" t="s">
        <v>314</v>
      </c>
      <c r="B26" s="11" t="s">
        <v>299</v>
      </c>
      <c r="C26" s="10" t="s">
        <v>286</v>
      </c>
      <c r="D26" s="10" t="s">
        <v>315</v>
      </c>
      <c r="E26" s="10" t="s">
        <v>288</v>
      </c>
      <c r="F26" s="10"/>
      <c r="G26" s="10"/>
      <c r="H26" s="10"/>
      <c r="I26" s="12"/>
      <c r="J26" s="12"/>
      <c r="K26" s="10"/>
      <c r="L26" s="10" t="s">
        <v>289</v>
      </c>
      <c r="M26" s="10"/>
      <c r="N26" s="10"/>
      <c r="O26" s="10"/>
      <c r="P26" s="10"/>
      <c r="Q26" s="10"/>
      <c r="W26" s="10"/>
      <c r="X26" s="10"/>
      <c r="Y26" s="10"/>
      <c r="Z26" s="10"/>
    </row>
    <row r="27" spans="1:26" ht="15.5" customHeight="1" x14ac:dyDescent="0.35">
      <c r="A27" s="10"/>
      <c r="B27" s="11"/>
      <c r="C27" s="10"/>
      <c r="D27" s="10"/>
      <c r="E27" s="10"/>
      <c r="F27" s="10"/>
      <c r="G27" s="10"/>
      <c r="H27" s="10"/>
      <c r="I27" s="12"/>
      <c r="J27" s="12"/>
      <c r="K27" s="10"/>
      <c r="L27" s="10" t="s">
        <v>273</v>
      </c>
      <c r="M27" s="10"/>
      <c r="N27" s="10"/>
      <c r="O27" s="10"/>
      <c r="P27" s="10"/>
      <c r="Q27" s="10"/>
      <c r="W27" s="10"/>
      <c r="X27" s="10"/>
      <c r="Y27" s="10"/>
      <c r="Z27" s="10"/>
    </row>
    <row r="28" spans="1:26" ht="15.5" customHeight="1" x14ac:dyDescent="0.35">
      <c r="A28" s="10" t="s">
        <v>316</v>
      </c>
      <c r="B28" s="11" t="s">
        <v>317</v>
      </c>
      <c r="C28" s="10" t="s">
        <v>303</v>
      </c>
      <c r="D28" s="10" t="s">
        <v>318</v>
      </c>
      <c r="E28" s="10" t="s">
        <v>276</v>
      </c>
      <c r="F28" s="10"/>
      <c r="G28" s="10"/>
      <c r="H28" s="10"/>
      <c r="I28" s="12"/>
      <c r="J28" s="12"/>
      <c r="K28" s="10"/>
      <c r="L28" s="10" t="s">
        <v>281</v>
      </c>
      <c r="M28" s="10"/>
      <c r="N28" s="10"/>
      <c r="O28" s="10"/>
      <c r="P28" s="10"/>
      <c r="Q28" s="10"/>
      <c r="W28" s="10"/>
      <c r="X28" s="10"/>
      <c r="Y28" s="10"/>
      <c r="Z28" s="10"/>
    </row>
    <row r="29" spans="1:26" ht="15.5" customHeight="1" x14ac:dyDescent="0.35">
      <c r="A29" s="10"/>
      <c r="B29" s="11"/>
      <c r="C29" s="10"/>
      <c r="D29" s="10"/>
      <c r="E29" s="10"/>
      <c r="F29" s="10"/>
      <c r="G29" s="10"/>
      <c r="H29" s="10"/>
      <c r="I29" s="12"/>
      <c r="J29" s="12"/>
      <c r="K29" s="10"/>
      <c r="L29" s="10" t="s">
        <v>273</v>
      </c>
      <c r="M29" s="10"/>
      <c r="N29" s="10"/>
      <c r="O29" s="10"/>
      <c r="P29" s="10"/>
      <c r="Q29" s="10"/>
      <c r="W29" s="10"/>
      <c r="X29" s="10"/>
      <c r="Y29" s="10"/>
      <c r="Z29" s="10"/>
    </row>
    <row r="30" spans="1:26" ht="15.5" customHeight="1" x14ac:dyDescent="0.35">
      <c r="A30" s="10"/>
      <c r="B30" s="10"/>
      <c r="C30" s="10"/>
      <c r="D30" s="10"/>
      <c r="E30" s="10"/>
      <c r="F30" s="10"/>
      <c r="G30" s="10"/>
      <c r="H30" s="10"/>
      <c r="I30" s="12"/>
      <c r="J30" s="12"/>
      <c r="K30" s="10"/>
      <c r="L30" s="10" t="s">
        <v>273</v>
      </c>
      <c r="M30" s="10"/>
      <c r="N30" s="10"/>
      <c r="O30" s="10"/>
      <c r="P30" s="10"/>
      <c r="Q30" s="10"/>
      <c r="R30" s="13">
        <v>1.1000000000000001</v>
      </c>
      <c r="S30" s="13">
        <f>COUNTIF(F2:G100, R30)</f>
        <v>0</v>
      </c>
      <c r="T30" s="10"/>
      <c r="U30" s="10"/>
      <c r="V30" s="10"/>
      <c r="W30" s="10"/>
      <c r="X30" s="10"/>
      <c r="Y30" s="10"/>
      <c r="Z30" s="10"/>
    </row>
    <row r="31" spans="1:26" ht="15.5" customHeight="1" x14ac:dyDescent="0.35">
      <c r="A31" s="10" t="s">
        <v>319</v>
      </c>
      <c r="B31" s="11" t="s">
        <v>308</v>
      </c>
      <c r="C31" s="10" t="s">
        <v>270</v>
      </c>
      <c r="D31" s="10" t="s">
        <v>320</v>
      </c>
      <c r="E31" s="10" t="s">
        <v>272</v>
      </c>
      <c r="F31" s="10"/>
      <c r="G31" s="10"/>
      <c r="H31" s="10"/>
      <c r="I31" s="12"/>
      <c r="J31" s="12"/>
      <c r="K31" s="10"/>
      <c r="L31" s="10" t="s">
        <v>273</v>
      </c>
      <c r="M31" s="10"/>
      <c r="N31" s="10"/>
      <c r="O31" s="10"/>
      <c r="P31" s="10"/>
      <c r="Q31" s="10"/>
      <c r="R31" s="13">
        <v>1.2</v>
      </c>
      <c r="S31" s="13">
        <f>COUNTIF(F2:G101, R31)</f>
        <v>0</v>
      </c>
      <c r="T31" s="10"/>
      <c r="U31" s="7" t="s">
        <v>321</v>
      </c>
      <c r="V31" s="7" t="s">
        <v>322</v>
      </c>
      <c r="W31" s="10"/>
      <c r="X31" s="10"/>
      <c r="Y31" s="10"/>
      <c r="Z31" s="10"/>
    </row>
    <row r="32" spans="1:26" ht="15.5" customHeight="1" x14ac:dyDescent="0.35">
      <c r="A32" s="10" t="s">
        <v>319</v>
      </c>
      <c r="B32" s="11" t="s">
        <v>308</v>
      </c>
      <c r="C32" s="10" t="s">
        <v>291</v>
      </c>
      <c r="D32" s="10" t="s">
        <v>323</v>
      </c>
      <c r="E32" s="10" t="s">
        <v>276</v>
      </c>
      <c r="F32" s="10"/>
      <c r="G32" s="10"/>
      <c r="H32" s="10"/>
      <c r="I32" s="12"/>
      <c r="J32" s="12"/>
      <c r="K32" s="10"/>
      <c r="L32" s="10" t="s">
        <v>277</v>
      </c>
      <c r="M32" s="10"/>
      <c r="N32" s="10"/>
      <c r="O32" s="10"/>
      <c r="P32" s="10"/>
      <c r="Q32" s="10"/>
      <c r="R32" s="13">
        <v>1.3</v>
      </c>
      <c r="S32" s="13">
        <f>COUNTIF(F2:G102, R32)</f>
        <v>0</v>
      </c>
      <c r="T32" s="10"/>
      <c r="U32" s="14" t="s">
        <v>324</v>
      </c>
      <c r="V32" s="14">
        <v>1</v>
      </c>
      <c r="W32" s="10"/>
      <c r="X32" s="10"/>
      <c r="Y32" s="10"/>
      <c r="Z32" s="10"/>
    </row>
    <row r="33" spans="1:26" ht="15.5" customHeight="1" x14ac:dyDescent="0.35">
      <c r="A33" s="10" t="s">
        <v>319</v>
      </c>
      <c r="B33" s="11" t="s">
        <v>269</v>
      </c>
      <c r="C33" s="10" t="s">
        <v>292</v>
      </c>
      <c r="D33" s="10" t="s">
        <v>325</v>
      </c>
      <c r="E33" s="10" t="s">
        <v>276</v>
      </c>
      <c r="F33" s="10"/>
      <c r="G33" s="10"/>
      <c r="H33" s="10"/>
      <c r="I33" s="12"/>
      <c r="J33" s="12"/>
      <c r="K33" s="10"/>
      <c r="L33" s="10" t="s">
        <v>277</v>
      </c>
      <c r="M33" s="10"/>
      <c r="N33" s="10"/>
      <c r="O33" s="10"/>
      <c r="P33" s="10"/>
      <c r="Q33" s="10"/>
      <c r="R33" s="13">
        <v>2.1</v>
      </c>
      <c r="S33" s="13">
        <f>COUNTIF(F2:G103, R33)</f>
        <v>0</v>
      </c>
      <c r="T33" s="10"/>
      <c r="U33" s="15" t="s">
        <v>326</v>
      </c>
      <c r="V33" s="15">
        <v>3</v>
      </c>
      <c r="W33" s="10"/>
      <c r="X33" s="10"/>
      <c r="Y33" s="10"/>
      <c r="Z33" s="10"/>
    </row>
    <row r="34" spans="1:26" ht="15.5" customHeight="1" x14ac:dyDescent="0.35">
      <c r="A34" s="10" t="s">
        <v>319</v>
      </c>
      <c r="B34" s="11" t="s">
        <v>269</v>
      </c>
      <c r="C34" s="10" t="s">
        <v>274</v>
      </c>
      <c r="D34" s="10" t="s">
        <v>327</v>
      </c>
      <c r="E34" s="10" t="s">
        <v>272</v>
      </c>
      <c r="F34" s="10"/>
      <c r="G34" s="10"/>
      <c r="H34" s="10"/>
      <c r="I34" s="12"/>
      <c r="J34" s="12"/>
      <c r="K34" s="10"/>
      <c r="L34" s="10" t="s">
        <v>277</v>
      </c>
      <c r="M34" s="10"/>
      <c r="N34" s="10"/>
      <c r="O34" s="10"/>
      <c r="P34" s="10"/>
      <c r="Q34" s="10"/>
      <c r="R34" s="13">
        <v>2.2000000000000002</v>
      </c>
      <c r="S34" s="13">
        <f>COUNTIF(F2:G104, R34)</f>
        <v>0</v>
      </c>
      <c r="T34" s="10"/>
      <c r="U34" s="15" t="s">
        <v>328</v>
      </c>
      <c r="V34" s="15">
        <v>3</v>
      </c>
      <c r="W34" s="10"/>
      <c r="X34" s="10"/>
      <c r="Y34" s="10"/>
      <c r="Z34" s="10"/>
    </row>
    <row r="35" spans="1:26" ht="15.5" customHeight="1" x14ac:dyDescent="0.35">
      <c r="A35" s="10" t="s">
        <v>319</v>
      </c>
      <c r="B35" s="11" t="s">
        <v>329</v>
      </c>
      <c r="C35" s="10" t="s">
        <v>286</v>
      </c>
      <c r="D35" s="10" t="s">
        <v>330</v>
      </c>
      <c r="E35" s="10" t="s">
        <v>288</v>
      </c>
      <c r="F35" s="10"/>
      <c r="G35" s="10"/>
      <c r="H35" s="10"/>
      <c r="I35" s="12"/>
      <c r="J35" s="12"/>
      <c r="K35" s="10"/>
      <c r="L35" s="10" t="s">
        <v>289</v>
      </c>
      <c r="M35" s="10"/>
      <c r="N35" s="10"/>
      <c r="O35" s="10"/>
      <c r="P35" s="10"/>
      <c r="Q35" s="10"/>
      <c r="R35" s="13">
        <v>3.1</v>
      </c>
      <c r="S35" s="13">
        <f>COUNTIF(F2:G105, R35)</f>
        <v>0</v>
      </c>
      <c r="T35" s="10"/>
      <c r="U35" s="16" t="s">
        <v>331</v>
      </c>
      <c r="V35" s="16">
        <v>4</v>
      </c>
      <c r="W35" s="10"/>
      <c r="X35" s="10"/>
      <c r="Y35" s="10"/>
      <c r="Z35" s="10"/>
    </row>
    <row r="36" spans="1:26" ht="15.5" customHeight="1" x14ac:dyDescent="0.35">
      <c r="A36" s="10"/>
      <c r="B36" s="11"/>
      <c r="C36" s="10"/>
      <c r="D36" s="10"/>
      <c r="E36" s="10"/>
      <c r="F36" s="10"/>
      <c r="G36" s="10"/>
      <c r="H36" s="10"/>
      <c r="I36" s="12"/>
      <c r="J36" s="12"/>
      <c r="K36" s="10"/>
      <c r="L36" s="10" t="s">
        <v>273</v>
      </c>
      <c r="M36" s="10"/>
      <c r="N36" s="10"/>
      <c r="O36" s="10"/>
      <c r="P36" s="10"/>
      <c r="Q36" s="10"/>
      <c r="R36" s="13">
        <v>3.2</v>
      </c>
      <c r="S36" s="13">
        <f>COUNTIF(F2:G106, R36)</f>
        <v>0</v>
      </c>
      <c r="T36" s="10"/>
      <c r="U36" s="10" t="s">
        <v>332</v>
      </c>
      <c r="V36" s="10">
        <v>5</v>
      </c>
      <c r="W36" s="10"/>
      <c r="X36" s="10"/>
      <c r="Y36" s="10"/>
      <c r="Z36" s="10"/>
    </row>
    <row r="37" spans="1:26" ht="15.5" customHeight="1" x14ac:dyDescent="0.35">
      <c r="A37" s="10" t="s">
        <v>333</v>
      </c>
      <c r="B37" s="11" t="s">
        <v>334</v>
      </c>
      <c r="C37" s="10" t="s">
        <v>303</v>
      </c>
      <c r="D37" s="10" t="s">
        <v>335</v>
      </c>
      <c r="E37" s="10" t="s">
        <v>276</v>
      </c>
      <c r="F37" s="10"/>
      <c r="G37" s="10"/>
      <c r="H37" s="10"/>
      <c r="I37" s="12"/>
      <c r="J37" s="12"/>
      <c r="K37" s="10"/>
      <c r="L37" s="10" t="s">
        <v>281</v>
      </c>
      <c r="M37" s="10"/>
      <c r="N37" s="10"/>
      <c r="O37" s="10"/>
      <c r="P37" s="10"/>
      <c r="Q37" s="10"/>
      <c r="R37" s="13">
        <v>4.0999999999999996</v>
      </c>
      <c r="S37" s="13">
        <f>COUNTIF(F2:G107, R37)</f>
        <v>0</v>
      </c>
      <c r="T37" s="10"/>
      <c r="U37" s="10" t="s">
        <v>336</v>
      </c>
      <c r="V37" s="10">
        <v>5</v>
      </c>
      <c r="W37" s="10"/>
      <c r="X37" s="10"/>
      <c r="Y37" s="10"/>
      <c r="Z37" s="10"/>
    </row>
    <row r="38" spans="1:26" ht="15.5" customHeight="1" x14ac:dyDescent="0.35">
      <c r="A38" s="10" t="s">
        <v>333</v>
      </c>
      <c r="B38" s="11" t="s">
        <v>337</v>
      </c>
      <c r="C38" s="10" t="s">
        <v>282</v>
      </c>
      <c r="D38" s="10" t="s">
        <v>338</v>
      </c>
      <c r="E38" s="10" t="s">
        <v>276</v>
      </c>
      <c r="F38" s="10"/>
      <c r="G38" s="10"/>
      <c r="H38" s="10"/>
      <c r="I38" s="12"/>
      <c r="J38" s="12"/>
      <c r="K38" s="10"/>
      <c r="L38" s="10" t="s">
        <v>273</v>
      </c>
      <c r="M38" s="10"/>
      <c r="N38" s="10"/>
      <c r="O38" s="10"/>
      <c r="P38" s="10"/>
      <c r="Q38" s="10"/>
      <c r="R38" s="13">
        <v>4.2</v>
      </c>
      <c r="S38" s="13">
        <f>COUNTIF(F2:G108, R38)</f>
        <v>0</v>
      </c>
      <c r="T38" s="10"/>
      <c r="U38" s="10"/>
      <c r="V38" s="10"/>
      <c r="W38" s="10"/>
      <c r="X38" s="10"/>
      <c r="Y38" s="10"/>
      <c r="Z38" s="10"/>
    </row>
    <row r="39" spans="1:26" ht="15.5" customHeight="1" x14ac:dyDescent="0.35">
      <c r="A39" s="10"/>
      <c r="B39" s="10"/>
      <c r="C39" s="10"/>
      <c r="D39" s="10"/>
      <c r="E39" s="10"/>
      <c r="F39" s="10"/>
      <c r="G39" s="10"/>
      <c r="H39" s="10"/>
      <c r="I39" s="12"/>
      <c r="J39" s="12"/>
      <c r="K39" s="10"/>
      <c r="L39" s="10" t="s">
        <v>273</v>
      </c>
      <c r="M39" s="10"/>
      <c r="N39" s="10"/>
      <c r="O39" s="10"/>
      <c r="P39" s="10"/>
      <c r="Q39" s="10"/>
      <c r="R39" s="13">
        <v>5</v>
      </c>
      <c r="S39" s="13">
        <f>COUNTIF(F2:G109, R39)</f>
        <v>0</v>
      </c>
      <c r="T39" s="10"/>
      <c r="U39" s="10"/>
      <c r="V39" s="10"/>
      <c r="W39" s="10"/>
      <c r="X39" s="10"/>
      <c r="Y39" s="10"/>
      <c r="Z39" s="10"/>
    </row>
    <row r="40" spans="1:26" ht="15.5" customHeight="1" x14ac:dyDescent="0.35">
      <c r="A40" s="10"/>
      <c r="B40" s="10"/>
      <c r="C40" s="10"/>
      <c r="D40" s="10"/>
      <c r="E40" s="10"/>
      <c r="F40" s="10"/>
      <c r="G40" s="10"/>
      <c r="H40" s="10"/>
      <c r="I40" s="12"/>
      <c r="J40" s="12"/>
      <c r="K40" s="10"/>
      <c r="L40" s="10" t="s">
        <v>273</v>
      </c>
      <c r="M40" s="10"/>
      <c r="N40" s="10"/>
      <c r="O40" s="10"/>
      <c r="P40" s="10"/>
      <c r="Q40" s="10"/>
      <c r="R40" s="17">
        <v>6</v>
      </c>
      <c r="S40" s="13">
        <f>COUNTIF(F2:G110, R40)</f>
        <v>0</v>
      </c>
      <c r="T40" s="10"/>
      <c r="U40" s="18" t="s">
        <v>339</v>
      </c>
      <c r="V40" s="18">
        <v>2</v>
      </c>
      <c r="W40" s="10"/>
      <c r="X40" s="10"/>
      <c r="Y40" s="10"/>
      <c r="Z40" s="10"/>
    </row>
    <row r="41" spans="1:26" ht="15.5" customHeight="1" x14ac:dyDescent="0.35">
      <c r="A41" s="10" t="s">
        <v>340</v>
      </c>
      <c r="B41" s="11" t="s">
        <v>341</v>
      </c>
      <c r="C41" s="10" t="s">
        <v>279</v>
      </c>
      <c r="D41" s="10" t="s">
        <v>342</v>
      </c>
      <c r="E41" s="10" t="s">
        <v>276</v>
      </c>
      <c r="F41" s="10"/>
      <c r="G41" s="10"/>
      <c r="H41" s="10"/>
      <c r="I41" s="12"/>
      <c r="J41" s="12"/>
      <c r="K41" s="10"/>
      <c r="L41" s="10" t="s">
        <v>281</v>
      </c>
      <c r="M41" s="10"/>
      <c r="N41" s="10"/>
      <c r="O41" s="10"/>
      <c r="P41" s="10"/>
      <c r="Q41" s="10"/>
      <c r="R41" s="17" t="s">
        <v>343</v>
      </c>
      <c r="S41" s="13">
        <f>COUNTIF(F2:G111, R41)</f>
        <v>0</v>
      </c>
      <c r="T41" s="10"/>
      <c r="U41" s="16" t="s">
        <v>344</v>
      </c>
      <c r="V41" s="16">
        <v>4</v>
      </c>
      <c r="W41" s="10"/>
      <c r="X41" s="10"/>
      <c r="Y41" s="10"/>
      <c r="Z41" s="10"/>
    </row>
    <row r="42" spans="1:26" ht="15.5" customHeight="1" x14ac:dyDescent="0.35">
      <c r="A42" s="10" t="s">
        <v>340</v>
      </c>
      <c r="B42" s="11" t="s">
        <v>341</v>
      </c>
      <c r="C42" s="10" t="s">
        <v>303</v>
      </c>
      <c r="D42" s="10" t="s">
        <v>345</v>
      </c>
      <c r="E42" s="10" t="s">
        <v>272</v>
      </c>
      <c r="F42" s="10"/>
      <c r="G42" s="10"/>
      <c r="H42" s="10"/>
      <c r="I42" s="12"/>
      <c r="J42" s="12"/>
      <c r="K42" s="10"/>
      <c r="L42" s="10" t="s">
        <v>281</v>
      </c>
      <c r="M42" s="10"/>
      <c r="N42" s="10"/>
      <c r="O42" s="10"/>
      <c r="P42" s="10"/>
      <c r="Q42" s="10"/>
      <c r="R42" s="17" t="s">
        <v>346</v>
      </c>
      <c r="S42" s="13">
        <f>COUNTIF(F2:G112, R42)</f>
        <v>0</v>
      </c>
      <c r="T42" s="10"/>
      <c r="U42" s="10"/>
      <c r="V42" s="10"/>
      <c r="W42" s="10"/>
      <c r="X42" s="10"/>
      <c r="Y42" s="10"/>
      <c r="Z42" s="10"/>
    </row>
    <row r="43" spans="1:26" ht="15.5" customHeight="1" x14ac:dyDescent="0.35">
      <c r="A43" s="10" t="s">
        <v>340</v>
      </c>
      <c r="B43" s="11" t="s">
        <v>347</v>
      </c>
      <c r="C43" s="10" t="s">
        <v>274</v>
      </c>
      <c r="D43" s="10" t="s">
        <v>348</v>
      </c>
      <c r="E43" s="10" t="s">
        <v>276</v>
      </c>
      <c r="F43" s="10"/>
      <c r="G43" s="10"/>
      <c r="H43" s="10"/>
      <c r="I43" s="12"/>
      <c r="J43" s="12"/>
      <c r="K43" s="10"/>
      <c r="L43" s="10" t="s">
        <v>277</v>
      </c>
      <c r="M43" s="10"/>
      <c r="N43" s="10"/>
      <c r="O43" s="10"/>
      <c r="P43" s="10"/>
      <c r="Q43" s="10"/>
      <c r="R43" s="17" t="s">
        <v>349</v>
      </c>
      <c r="S43" s="13">
        <f>COUNTIF(F2:G113, R43)</f>
        <v>0</v>
      </c>
      <c r="T43" s="10"/>
      <c r="U43" s="10"/>
      <c r="V43" s="10"/>
      <c r="W43" s="10"/>
      <c r="X43" s="10"/>
      <c r="Y43" s="10"/>
      <c r="Z43" s="10"/>
    </row>
    <row r="44" spans="1:26" ht="15.5" customHeight="1" x14ac:dyDescent="0.35">
      <c r="A44" s="10" t="s">
        <v>340</v>
      </c>
      <c r="B44" s="11" t="s">
        <v>347</v>
      </c>
      <c r="C44" s="10" t="s">
        <v>282</v>
      </c>
      <c r="D44" s="10" t="s">
        <v>350</v>
      </c>
      <c r="E44" s="10" t="s">
        <v>272</v>
      </c>
      <c r="F44" s="10"/>
      <c r="G44" s="10"/>
      <c r="H44" s="10"/>
      <c r="I44" s="12"/>
      <c r="J44" s="12"/>
      <c r="K44" s="10"/>
      <c r="L44" s="10" t="s">
        <v>273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5" customHeight="1" x14ac:dyDescent="0.35">
      <c r="A45" s="10"/>
      <c r="B45" s="11"/>
      <c r="C45" s="10"/>
      <c r="D45" s="10"/>
      <c r="E45" s="10"/>
      <c r="F45" s="10"/>
      <c r="G45" s="10"/>
      <c r="H45" s="10"/>
      <c r="I45" s="12"/>
      <c r="J45" s="12"/>
      <c r="K45" s="10"/>
      <c r="L45" s="10" t="s">
        <v>273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5" customHeight="1" x14ac:dyDescent="0.35">
      <c r="A46" s="10" t="s">
        <v>351</v>
      </c>
      <c r="B46" s="11" t="s">
        <v>285</v>
      </c>
      <c r="C46" s="10" t="s">
        <v>292</v>
      </c>
      <c r="D46" s="10" t="s">
        <v>352</v>
      </c>
      <c r="E46" s="10" t="s">
        <v>272</v>
      </c>
      <c r="F46" s="10"/>
      <c r="G46" s="10"/>
      <c r="H46" s="10"/>
      <c r="I46" s="12"/>
      <c r="J46" s="12"/>
      <c r="K46" s="10"/>
      <c r="L46" s="10" t="s">
        <v>277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5" customHeight="1" x14ac:dyDescent="0.35">
      <c r="A47" s="10" t="s">
        <v>351</v>
      </c>
      <c r="B47" s="11" t="s">
        <v>285</v>
      </c>
      <c r="C47" s="10" t="s">
        <v>291</v>
      </c>
      <c r="D47" s="10" t="s">
        <v>311</v>
      </c>
      <c r="E47" s="10" t="s">
        <v>276</v>
      </c>
      <c r="F47" s="10"/>
      <c r="G47" s="10"/>
      <c r="H47" s="10"/>
      <c r="I47" s="12"/>
      <c r="J47" s="12"/>
      <c r="K47" s="10"/>
      <c r="L47" s="10" t="s">
        <v>277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5" customHeight="1" x14ac:dyDescent="0.35">
      <c r="A48" s="10" t="s">
        <v>351</v>
      </c>
      <c r="B48" s="11" t="s">
        <v>290</v>
      </c>
      <c r="C48" s="10" t="s">
        <v>286</v>
      </c>
      <c r="D48" s="10" t="s">
        <v>353</v>
      </c>
      <c r="E48" s="10" t="s">
        <v>288</v>
      </c>
      <c r="F48" s="10"/>
      <c r="G48" s="10"/>
      <c r="H48" s="10"/>
      <c r="I48" s="12"/>
      <c r="J48" s="12"/>
      <c r="K48" s="10"/>
      <c r="L48" s="10" t="s">
        <v>289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5" customHeight="1" x14ac:dyDescent="0.35">
      <c r="A49" s="10"/>
      <c r="B49" s="11"/>
      <c r="C49" s="10"/>
      <c r="D49" s="10"/>
      <c r="E49" s="10"/>
      <c r="G49" s="10"/>
      <c r="H49" s="10"/>
      <c r="I49" s="12"/>
      <c r="J49" s="12"/>
      <c r="K49" s="10"/>
      <c r="L49" s="10" t="s">
        <v>273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5" customHeight="1" x14ac:dyDescent="0.35">
      <c r="A50" s="10" t="s">
        <v>354</v>
      </c>
      <c r="B50" s="11" t="s">
        <v>308</v>
      </c>
      <c r="C50" s="10" t="s">
        <v>279</v>
      </c>
      <c r="D50" s="10" t="s">
        <v>355</v>
      </c>
      <c r="E50" s="10" t="s">
        <v>272</v>
      </c>
      <c r="F50" s="10"/>
      <c r="G50" s="10"/>
      <c r="H50" s="10"/>
      <c r="I50" s="12"/>
      <c r="J50" s="12"/>
      <c r="K50" s="10"/>
      <c r="L50" s="10" t="s">
        <v>281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5" customHeight="1" x14ac:dyDescent="0.35">
      <c r="A51" s="10" t="s">
        <v>354</v>
      </c>
      <c r="B51" s="11" t="s">
        <v>308</v>
      </c>
      <c r="C51" s="10" t="s">
        <v>270</v>
      </c>
      <c r="D51" s="10" t="s">
        <v>356</v>
      </c>
      <c r="E51" s="10" t="s">
        <v>276</v>
      </c>
      <c r="F51" s="10"/>
      <c r="G51" s="10"/>
      <c r="I51" s="12"/>
      <c r="J51" s="12"/>
      <c r="K51" s="10"/>
      <c r="L51" s="10" t="s">
        <v>273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5" customHeight="1" x14ac:dyDescent="0.35">
      <c r="A52" s="10" t="s">
        <v>354</v>
      </c>
      <c r="B52" s="11" t="s">
        <v>269</v>
      </c>
      <c r="C52" s="10" t="s">
        <v>292</v>
      </c>
      <c r="D52" s="10" t="s">
        <v>323</v>
      </c>
      <c r="E52" s="10" t="s">
        <v>272</v>
      </c>
      <c r="F52" s="10"/>
      <c r="G52" s="10"/>
      <c r="H52" s="10"/>
      <c r="I52" s="12"/>
      <c r="J52" s="12"/>
      <c r="K52" s="10"/>
      <c r="L52" s="10" t="s">
        <v>277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5" customHeight="1" x14ac:dyDescent="0.35">
      <c r="A53" s="10" t="s">
        <v>354</v>
      </c>
      <c r="B53" s="11" t="s">
        <v>269</v>
      </c>
      <c r="C53" s="10" t="s">
        <v>303</v>
      </c>
      <c r="D53" s="10" t="s">
        <v>357</v>
      </c>
      <c r="E53" s="10" t="s">
        <v>276</v>
      </c>
      <c r="F53" s="10"/>
      <c r="G53" s="10"/>
      <c r="H53" s="10"/>
      <c r="I53" s="12"/>
      <c r="J53" s="12"/>
      <c r="K53" s="10"/>
      <c r="L53" s="10" t="s">
        <v>281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5" customHeight="1" x14ac:dyDescent="0.35">
      <c r="A54" s="10" t="s">
        <v>354</v>
      </c>
      <c r="B54" s="11" t="s">
        <v>278</v>
      </c>
      <c r="C54" s="10" t="s">
        <v>291</v>
      </c>
      <c r="D54" s="10" t="s">
        <v>358</v>
      </c>
      <c r="E54" s="10" t="s">
        <v>276</v>
      </c>
      <c r="F54" s="10"/>
      <c r="G54" s="10"/>
      <c r="H54" s="10"/>
      <c r="I54" s="12"/>
      <c r="J54" s="12"/>
      <c r="K54" s="10"/>
      <c r="L54" s="10" t="s">
        <v>277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5" customHeight="1" x14ac:dyDescent="0.35">
      <c r="A55" s="10"/>
      <c r="B55" s="11"/>
      <c r="C55" s="10"/>
      <c r="D55" s="10"/>
      <c r="E55" s="10"/>
      <c r="F55" s="10"/>
      <c r="G55" s="10"/>
      <c r="H55" s="10"/>
      <c r="I55" s="12"/>
      <c r="J55" s="12"/>
      <c r="K55" s="10"/>
      <c r="L55" s="10" t="s">
        <v>273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5" customHeight="1" x14ac:dyDescent="0.35">
      <c r="A56" s="10" t="s">
        <v>359</v>
      </c>
      <c r="B56" s="11" t="s">
        <v>285</v>
      </c>
      <c r="C56" s="10" t="s">
        <v>274</v>
      </c>
      <c r="D56" s="10" t="s">
        <v>360</v>
      </c>
      <c r="E56" s="10" t="s">
        <v>276</v>
      </c>
      <c r="F56" s="10"/>
      <c r="G56" s="10"/>
      <c r="H56" s="10"/>
      <c r="I56" s="12"/>
      <c r="J56" s="12"/>
      <c r="K56" s="10"/>
      <c r="L56" s="10" t="s">
        <v>277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5" customHeight="1" x14ac:dyDescent="0.35">
      <c r="A57" s="10" t="s">
        <v>359</v>
      </c>
      <c r="B57" s="11" t="s">
        <v>285</v>
      </c>
      <c r="C57" s="10" t="s">
        <v>282</v>
      </c>
      <c r="D57" s="10" t="s">
        <v>361</v>
      </c>
      <c r="E57" s="10" t="s">
        <v>272</v>
      </c>
      <c r="F57" s="10"/>
      <c r="G57" s="10"/>
      <c r="H57" s="10"/>
      <c r="I57" s="12"/>
      <c r="J57" s="12"/>
      <c r="K57" s="10"/>
      <c r="L57" s="10" t="s">
        <v>273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5" customHeight="1" x14ac:dyDescent="0.35">
      <c r="A58" s="10" t="s">
        <v>359</v>
      </c>
      <c r="B58" s="11" t="s">
        <v>290</v>
      </c>
      <c r="C58" s="10" t="s">
        <v>286</v>
      </c>
      <c r="D58" s="10" t="s">
        <v>362</v>
      </c>
      <c r="E58" s="10" t="s">
        <v>288</v>
      </c>
      <c r="F58" s="10"/>
      <c r="G58" s="10"/>
      <c r="H58" s="10"/>
      <c r="I58" s="12"/>
      <c r="J58" s="12"/>
      <c r="K58" s="10"/>
      <c r="L58" s="10" t="s">
        <v>289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5" customHeight="1" x14ac:dyDescent="0.35">
      <c r="A59" s="10"/>
      <c r="I59" s="12"/>
      <c r="J59" s="12"/>
      <c r="K59" s="10"/>
      <c r="L59" s="10" t="s">
        <v>273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5" customHeight="1" x14ac:dyDescent="0.35">
      <c r="A60" s="10" t="s">
        <v>363</v>
      </c>
      <c r="B60" s="11" t="s">
        <v>364</v>
      </c>
      <c r="C60" s="10" t="s">
        <v>292</v>
      </c>
      <c r="D60" s="10" t="s">
        <v>291</v>
      </c>
      <c r="E60" s="10" t="s">
        <v>288</v>
      </c>
      <c r="F60" s="10"/>
      <c r="G60" s="10"/>
      <c r="H60" s="10"/>
      <c r="I60" s="12"/>
      <c r="J60" s="12"/>
      <c r="K60" s="10"/>
      <c r="L60" s="10" t="s">
        <v>277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5" customHeight="1" x14ac:dyDescent="0.35">
      <c r="A61" s="10"/>
      <c r="B61" s="11"/>
      <c r="C61" s="10"/>
      <c r="D61" s="10"/>
      <c r="E61" s="10"/>
      <c r="F61" s="10"/>
      <c r="G61" s="10"/>
      <c r="H61" s="10"/>
      <c r="I61" s="12"/>
      <c r="J61" s="12"/>
      <c r="K61" s="10"/>
      <c r="L61" s="10" t="s">
        <v>273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5" customHeight="1" x14ac:dyDescent="0.35">
      <c r="A62" s="10" t="s">
        <v>365</v>
      </c>
      <c r="B62" s="11" t="s">
        <v>341</v>
      </c>
      <c r="C62" s="10" t="s">
        <v>282</v>
      </c>
      <c r="D62" s="10" t="s">
        <v>366</v>
      </c>
      <c r="E62" s="10" t="s">
        <v>276</v>
      </c>
      <c r="F62" s="10"/>
      <c r="G62" s="10"/>
      <c r="H62" s="10"/>
      <c r="I62" s="12"/>
      <c r="J62" s="12"/>
      <c r="K62" s="10"/>
      <c r="L62" s="10" t="s">
        <v>273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5" customHeight="1" x14ac:dyDescent="0.35">
      <c r="A63" s="10" t="s">
        <v>365</v>
      </c>
      <c r="B63" s="11" t="s">
        <v>341</v>
      </c>
      <c r="C63" s="10" t="s">
        <v>279</v>
      </c>
      <c r="D63" s="10" t="s">
        <v>367</v>
      </c>
      <c r="E63" s="10" t="s">
        <v>272</v>
      </c>
      <c r="F63" s="10"/>
      <c r="G63" s="10"/>
      <c r="H63" s="10"/>
      <c r="I63" s="12"/>
      <c r="J63" s="12"/>
      <c r="K63" s="10"/>
      <c r="L63" s="10" t="s">
        <v>281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5" customHeight="1" x14ac:dyDescent="0.35">
      <c r="A64" s="10" t="s">
        <v>365</v>
      </c>
      <c r="B64" s="11" t="s">
        <v>347</v>
      </c>
      <c r="C64" s="10" t="s">
        <v>270</v>
      </c>
      <c r="D64" s="10" t="s">
        <v>368</v>
      </c>
      <c r="E64" s="10" t="s">
        <v>272</v>
      </c>
      <c r="F64" s="10"/>
      <c r="G64" s="10"/>
      <c r="H64" s="10"/>
      <c r="I64" s="12"/>
      <c r="J64" s="12"/>
      <c r="K64" s="10"/>
      <c r="L64" s="10" t="s">
        <v>273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5" customHeight="1" x14ac:dyDescent="0.35">
      <c r="A65" s="10" t="s">
        <v>365</v>
      </c>
      <c r="B65" s="11" t="s">
        <v>347</v>
      </c>
      <c r="C65" s="10" t="s">
        <v>303</v>
      </c>
      <c r="D65" s="10" t="s">
        <v>369</v>
      </c>
      <c r="E65" s="10" t="s">
        <v>276</v>
      </c>
      <c r="F65" s="10"/>
      <c r="G65" s="10"/>
      <c r="H65" s="10"/>
      <c r="I65" s="12"/>
      <c r="J65" s="12"/>
      <c r="K65" s="10"/>
      <c r="L65" s="10" t="s">
        <v>281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5" customHeight="1" x14ac:dyDescent="0.35">
      <c r="A66" s="10"/>
      <c r="B66" s="11"/>
      <c r="C66" s="10"/>
      <c r="D66" s="10"/>
      <c r="E66" s="10"/>
      <c r="F66" s="10"/>
      <c r="G66" s="10"/>
      <c r="H66" s="10"/>
      <c r="I66" s="12"/>
      <c r="J66" s="12"/>
      <c r="K66" s="10"/>
      <c r="L66" s="10" t="s">
        <v>273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5" customHeight="1" x14ac:dyDescent="0.35">
      <c r="A67" s="10" t="s">
        <v>370</v>
      </c>
      <c r="B67" s="11" t="s">
        <v>285</v>
      </c>
      <c r="C67" s="10" t="s">
        <v>292</v>
      </c>
      <c r="D67" s="10" t="s">
        <v>295</v>
      </c>
      <c r="E67" s="10" t="s">
        <v>272</v>
      </c>
      <c r="F67" s="10"/>
      <c r="G67" s="10"/>
      <c r="H67" s="10"/>
      <c r="I67" s="12"/>
      <c r="J67" s="12"/>
      <c r="K67" s="10"/>
      <c r="L67" s="10" t="s">
        <v>277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5" customHeight="1" x14ac:dyDescent="0.35">
      <c r="A68" s="10" t="s">
        <v>370</v>
      </c>
      <c r="B68" s="11" t="s">
        <v>285</v>
      </c>
      <c r="C68" s="10" t="s">
        <v>291</v>
      </c>
      <c r="D68" s="10" t="s">
        <v>371</v>
      </c>
      <c r="E68" s="10" t="s">
        <v>276</v>
      </c>
      <c r="F68" s="10"/>
      <c r="G68" s="10"/>
      <c r="H68" s="10"/>
      <c r="I68" s="12"/>
      <c r="J68" s="12"/>
      <c r="K68" s="10"/>
      <c r="L68" s="10" t="s">
        <v>277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5" customHeight="1" x14ac:dyDescent="0.35">
      <c r="A69" s="10" t="s">
        <v>370</v>
      </c>
      <c r="B69" s="11" t="s">
        <v>299</v>
      </c>
      <c r="C69" s="10" t="s">
        <v>274</v>
      </c>
      <c r="D69" s="10" t="s">
        <v>372</v>
      </c>
      <c r="E69" s="10" t="s">
        <v>276</v>
      </c>
      <c r="F69" s="10"/>
      <c r="G69" s="10"/>
      <c r="H69" s="10"/>
      <c r="I69" s="12"/>
      <c r="J69" s="12"/>
      <c r="K69" s="10"/>
      <c r="L69" s="10" t="s">
        <v>277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5" customHeight="1" x14ac:dyDescent="0.35">
      <c r="A70" s="10" t="s">
        <v>370</v>
      </c>
      <c r="B70" s="11" t="s">
        <v>373</v>
      </c>
      <c r="C70" s="10" t="s">
        <v>286</v>
      </c>
      <c r="D70" s="10" t="s">
        <v>374</v>
      </c>
      <c r="E70" s="10" t="s">
        <v>288</v>
      </c>
      <c r="F70" s="10"/>
      <c r="G70" s="10"/>
      <c r="H70" s="10"/>
      <c r="I70" s="12"/>
      <c r="J70" s="12"/>
      <c r="K70" s="10"/>
      <c r="L70" s="10" t="s">
        <v>289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5" customHeight="1" x14ac:dyDescent="0.35">
      <c r="A71" s="10"/>
      <c r="B71" s="11"/>
      <c r="C71" s="10"/>
      <c r="D71" s="10"/>
      <c r="E71" s="10"/>
      <c r="F71" s="10"/>
      <c r="G71" s="10"/>
      <c r="H71" s="10"/>
      <c r="I71" s="12"/>
      <c r="J71" s="12"/>
      <c r="K71" s="10"/>
      <c r="L71" s="10" t="s">
        <v>273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5" customHeight="1" x14ac:dyDescent="0.35">
      <c r="A72" s="10" t="s">
        <v>375</v>
      </c>
      <c r="B72" s="11" t="s">
        <v>299</v>
      </c>
      <c r="C72" s="10" t="s">
        <v>303</v>
      </c>
      <c r="D72" s="10" t="s">
        <v>376</v>
      </c>
      <c r="E72" s="10" t="s">
        <v>276</v>
      </c>
      <c r="F72" s="10"/>
      <c r="G72" s="10"/>
      <c r="H72" s="10"/>
      <c r="I72" s="12"/>
      <c r="J72" s="12"/>
      <c r="K72" s="10"/>
      <c r="L72" s="10" t="s">
        <v>281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5" customHeight="1" x14ac:dyDescent="0.35">
      <c r="A73" s="10" t="s">
        <v>375</v>
      </c>
      <c r="B73" s="11" t="s">
        <v>334</v>
      </c>
      <c r="C73" s="10" t="s">
        <v>282</v>
      </c>
      <c r="D73" s="10" t="s">
        <v>377</v>
      </c>
      <c r="E73" s="10" t="s">
        <v>276</v>
      </c>
      <c r="F73" s="10"/>
      <c r="G73" s="10"/>
      <c r="H73" s="10"/>
      <c r="I73" s="12"/>
      <c r="J73" s="12"/>
      <c r="K73" s="10"/>
      <c r="L73" s="10" t="s">
        <v>273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5" customHeight="1" x14ac:dyDescent="0.35">
      <c r="A74" s="10"/>
      <c r="B74" s="11"/>
      <c r="C74" s="10"/>
      <c r="D74" s="10"/>
      <c r="E74" s="10"/>
      <c r="G74" s="10"/>
      <c r="H74" s="10"/>
      <c r="I74" s="12"/>
      <c r="J74" s="12"/>
      <c r="K74" s="10"/>
      <c r="L74" s="10" t="s">
        <v>273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5" customHeight="1" x14ac:dyDescent="0.35">
      <c r="A75" s="10" t="s">
        <v>378</v>
      </c>
      <c r="B75" s="11" t="s">
        <v>379</v>
      </c>
      <c r="C75" s="10" t="s">
        <v>279</v>
      </c>
      <c r="D75" s="10" t="s">
        <v>380</v>
      </c>
      <c r="E75" s="10" t="s">
        <v>276</v>
      </c>
      <c r="F75" s="10"/>
      <c r="G75" s="10"/>
      <c r="H75" s="10"/>
      <c r="I75" s="12"/>
      <c r="J75" s="12"/>
      <c r="K75" s="10"/>
      <c r="L75" s="10" t="s">
        <v>281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5" customHeight="1" x14ac:dyDescent="0.35">
      <c r="A76" s="10" t="s">
        <v>378</v>
      </c>
      <c r="B76" s="11" t="s">
        <v>341</v>
      </c>
      <c r="C76" s="10" t="s">
        <v>270</v>
      </c>
      <c r="D76" s="10" t="s">
        <v>381</v>
      </c>
      <c r="E76" s="10" t="s">
        <v>272</v>
      </c>
      <c r="F76" s="10"/>
      <c r="G76" s="10"/>
      <c r="H76" s="10"/>
      <c r="I76" s="12"/>
      <c r="J76" s="12"/>
      <c r="K76" s="10"/>
      <c r="L76" s="10" t="s">
        <v>273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5" customHeight="1" x14ac:dyDescent="0.35">
      <c r="A77" s="10" t="s">
        <v>378</v>
      </c>
      <c r="B77" s="11" t="s">
        <v>341</v>
      </c>
      <c r="C77" s="10" t="s">
        <v>291</v>
      </c>
      <c r="D77" s="10" t="s">
        <v>382</v>
      </c>
      <c r="E77" s="10" t="s">
        <v>276</v>
      </c>
      <c r="F77" s="10"/>
      <c r="G77" s="10"/>
      <c r="H77" s="10"/>
      <c r="I77" s="12"/>
      <c r="J77" s="12"/>
      <c r="K77" s="10"/>
      <c r="L77" s="10" t="s">
        <v>277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5" customHeight="1" x14ac:dyDescent="0.35">
      <c r="A78" s="10" t="s">
        <v>378</v>
      </c>
      <c r="B78" s="11" t="s">
        <v>347</v>
      </c>
      <c r="C78" s="10" t="s">
        <v>292</v>
      </c>
      <c r="D78" s="10" t="s">
        <v>371</v>
      </c>
      <c r="E78" s="10" t="s">
        <v>272</v>
      </c>
      <c r="F78" s="10"/>
      <c r="G78" s="10"/>
      <c r="H78" s="10"/>
      <c r="I78" s="12"/>
      <c r="J78" s="12"/>
      <c r="K78" s="10"/>
      <c r="L78" s="10" t="s">
        <v>277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5" customHeight="1" x14ac:dyDescent="0.35">
      <c r="A79" s="10" t="s">
        <v>378</v>
      </c>
      <c r="B79" s="11" t="s">
        <v>347</v>
      </c>
      <c r="C79" s="10" t="s">
        <v>274</v>
      </c>
      <c r="D79" s="10" t="s">
        <v>383</v>
      </c>
      <c r="E79" s="10" t="s">
        <v>276</v>
      </c>
      <c r="F79" s="10"/>
      <c r="G79" s="10"/>
      <c r="H79" s="10"/>
      <c r="I79" s="12"/>
      <c r="J79" s="12"/>
      <c r="K79" s="10"/>
      <c r="L79" s="10" t="s">
        <v>277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5" customHeight="1" x14ac:dyDescent="0.35">
      <c r="A80" s="10" t="s">
        <v>378</v>
      </c>
      <c r="B80" s="11" t="s">
        <v>384</v>
      </c>
      <c r="C80" s="10" t="s">
        <v>286</v>
      </c>
      <c r="D80" s="10" t="s">
        <v>385</v>
      </c>
      <c r="E80" s="10" t="s">
        <v>288</v>
      </c>
      <c r="F80" s="10"/>
      <c r="G80" s="10"/>
      <c r="H80" s="10"/>
      <c r="I80" s="12"/>
      <c r="J80" s="12"/>
      <c r="K80" s="10"/>
      <c r="L80" s="10" t="s">
        <v>289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5" customHeight="1" x14ac:dyDescent="0.35">
      <c r="A81" s="10"/>
      <c r="B81" s="11"/>
      <c r="C81" s="10"/>
      <c r="D81" s="10"/>
      <c r="E81" s="10"/>
      <c r="F81" s="10"/>
      <c r="G81" s="10"/>
      <c r="H81" s="10"/>
      <c r="I81" s="12"/>
      <c r="J81" s="12"/>
      <c r="K81" s="10"/>
      <c r="L81" s="10" t="s">
        <v>273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5" customHeight="1" x14ac:dyDescent="0.35">
      <c r="A82" s="10" t="s">
        <v>386</v>
      </c>
      <c r="B82" s="11" t="s">
        <v>317</v>
      </c>
      <c r="C82" s="10" t="s">
        <v>282</v>
      </c>
      <c r="D82" s="10" t="s">
        <v>387</v>
      </c>
      <c r="E82" s="10" t="s">
        <v>272</v>
      </c>
      <c r="F82" s="10"/>
      <c r="G82" s="10"/>
      <c r="H82" s="10"/>
      <c r="I82" s="12"/>
      <c r="J82" s="12"/>
      <c r="K82" s="10"/>
      <c r="L82" s="10" t="s">
        <v>273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5" customHeight="1" x14ac:dyDescent="0.35">
      <c r="A83" s="10" t="s">
        <v>386</v>
      </c>
      <c r="B83" s="11" t="s">
        <v>317</v>
      </c>
      <c r="C83" s="10" t="s">
        <v>303</v>
      </c>
      <c r="D83" s="10" t="s">
        <v>388</v>
      </c>
      <c r="E83" s="10" t="s">
        <v>276</v>
      </c>
      <c r="F83" s="10"/>
      <c r="G83" s="10"/>
      <c r="H83" s="10"/>
      <c r="I83" s="12"/>
      <c r="J83" s="12"/>
      <c r="K83" s="10"/>
      <c r="L83" s="10" t="s">
        <v>281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5" customHeight="1" x14ac:dyDescent="0.35">
      <c r="A84" s="10"/>
      <c r="B84" s="11"/>
      <c r="C84" s="10"/>
      <c r="D84" s="10"/>
      <c r="E84" s="10"/>
      <c r="F84" s="10"/>
      <c r="G84" s="10"/>
      <c r="H84" s="10"/>
      <c r="I84" s="12"/>
      <c r="J84" s="12"/>
      <c r="K84" s="10"/>
      <c r="L84" s="10" t="s">
        <v>273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5" customHeight="1" x14ac:dyDescent="0.35">
      <c r="A85" s="10" t="s">
        <v>389</v>
      </c>
      <c r="B85" s="11" t="s">
        <v>379</v>
      </c>
      <c r="C85" s="10" t="s">
        <v>270</v>
      </c>
      <c r="D85" s="10" t="s">
        <v>390</v>
      </c>
      <c r="E85" s="10" t="s">
        <v>276</v>
      </c>
      <c r="F85" s="10"/>
      <c r="G85" s="10"/>
      <c r="H85" s="10"/>
      <c r="I85" s="12"/>
      <c r="J85" s="12"/>
      <c r="K85" s="10"/>
      <c r="L85" s="10" t="s">
        <v>273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5" customHeight="1" x14ac:dyDescent="0.35">
      <c r="A86" s="10" t="s">
        <v>389</v>
      </c>
      <c r="B86" s="11" t="s">
        <v>341</v>
      </c>
      <c r="C86" s="10" t="s">
        <v>279</v>
      </c>
      <c r="D86" s="10" t="s">
        <v>391</v>
      </c>
      <c r="E86" s="10" t="s">
        <v>272</v>
      </c>
      <c r="F86" s="10"/>
      <c r="G86" s="10"/>
      <c r="H86" s="10"/>
      <c r="I86" s="12"/>
      <c r="J86" s="12"/>
      <c r="K86" s="10"/>
      <c r="L86" s="10" t="s">
        <v>281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5" customHeight="1" x14ac:dyDescent="0.35">
      <c r="A87" s="10" t="s">
        <v>389</v>
      </c>
      <c r="B87" s="11" t="s">
        <v>341</v>
      </c>
      <c r="C87" s="10" t="s">
        <v>291</v>
      </c>
      <c r="D87" s="10" t="s">
        <v>298</v>
      </c>
      <c r="E87" s="10" t="s">
        <v>276</v>
      </c>
      <c r="F87" s="10"/>
      <c r="G87" s="10"/>
      <c r="H87" s="10"/>
      <c r="I87" s="12"/>
      <c r="J87" s="12"/>
      <c r="K87" s="10"/>
      <c r="L87" s="10" t="s">
        <v>277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5" customHeight="1" x14ac:dyDescent="0.35">
      <c r="A88" s="10" t="s">
        <v>389</v>
      </c>
      <c r="B88" s="11" t="s">
        <v>347</v>
      </c>
      <c r="C88" s="10" t="s">
        <v>292</v>
      </c>
      <c r="D88" s="10" t="s">
        <v>310</v>
      </c>
      <c r="E88" s="10" t="s">
        <v>272</v>
      </c>
      <c r="F88" s="10"/>
      <c r="G88" s="10"/>
      <c r="H88" s="10"/>
      <c r="I88" s="12"/>
      <c r="J88" s="12"/>
      <c r="K88" s="10"/>
      <c r="L88" s="10" t="s">
        <v>277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5" customHeight="1" x14ac:dyDescent="0.35">
      <c r="A89" s="10" t="s">
        <v>389</v>
      </c>
      <c r="B89" s="11" t="s">
        <v>347</v>
      </c>
      <c r="C89" s="10" t="s">
        <v>274</v>
      </c>
      <c r="D89" s="10" t="s">
        <v>392</v>
      </c>
      <c r="E89" s="10" t="s">
        <v>276</v>
      </c>
      <c r="F89" s="10"/>
      <c r="G89" s="10"/>
      <c r="H89" s="10"/>
      <c r="I89" s="12"/>
      <c r="J89" s="12"/>
      <c r="K89" s="10"/>
      <c r="L89" s="10" t="s">
        <v>277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5" customHeight="1" x14ac:dyDescent="0.35">
      <c r="A90" s="10" t="s">
        <v>389</v>
      </c>
      <c r="B90" s="11" t="s">
        <v>384</v>
      </c>
      <c r="C90" s="10" t="s">
        <v>286</v>
      </c>
      <c r="D90" s="10" t="s">
        <v>393</v>
      </c>
      <c r="E90" s="10" t="s">
        <v>288</v>
      </c>
      <c r="F90" s="10"/>
      <c r="G90" s="10"/>
      <c r="H90" s="10"/>
      <c r="I90" s="12"/>
      <c r="J90" s="12"/>
      <c r="K90" s="10"/>
      <c r="L90" s="10" t="s">
        <v>289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5" customHeight="1" x14ac:dyDescent="0.35">
      <c r="H91" s="10"/>
      <c r="I91" s="12"/>
      <c r="J91" s="12"/>
      <c r="K91" s="10"/>
      <c r="L91" s="10" t="s">
        <v>273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5" customHeight="1" x14ac:dyDescent="0.35">
      <c r="A92" s="10" t="s">
        <v>394</v>
      </c>
      <c r="B92" s="11" t="s">
        <v>308</v>
      </c>
      <c r="C92" s="10" t="s">
        <v>274</v>
      </c>
      <c r="D92" s="10" t="s">
        <v>395</v>
      </c>
      <c r="E92" s="10" t="s">
        <v>276</v>
      </c>
      <c r="F92" s="10"/>
      <c r="G92" s="10"/>
      <c r="H92" s="10"/>
      <c r="I92" s="12"/>
      <c r="J92" s="12"/>
      <c r="K92" s="10"/>
      <c r="L92" s="10" t="s">
        <v>277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5" customHeight="1" x14ac:dyDescent="0.35">
      <c r="A93" s="10" t="s">
        <v>394</v>
      </c>
      <c r="B93" s="11" t="s">
        <v>308</v>
      </c>
      <c r="C93" s="10" t="s">
        <v>303</v>
      </c>
      <c r="D93" s="10" t="s">
        <v>396</v>
      </c>
      <c r="E93" s="10" t="s">
        <v>272</v>
      </c>
      <c r="F93" s="10"/>
      <c r="G93" s="10"/>
      <c r="H93" s="10"/>
      <c r="I93" s="12"/>
      <c r="J93" s="12"/>
      <c r="K93" s="10"/>
      <c r="L93" s="10" t="s">
        <v>281</v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5" customHeight="1" x14ac:dyDescent="0.35">
      <c r="A94" s="10" t="s">
        <v>394</v>
      </c>
      <c r="B94" s="11" t="s">
        <v>269</v>
      </c>
      <c r="C94" s="10" t="s">
        <v>292</v>
      </c>
      <c r="D94" s="10" t="s">
        <v>382</v>
      </c>
      <c r="E94" s="10" t="s">
        <v>272</v>
      </c>
      <c r="F94" s="10"/>
      <c r="G94" s="10"/>
      <c r="H94" s="10"/>
      <c r="I94" s="12"/>
      <c r="J94" s="12"/>
      <c r="K94" s="10"/>
      <c r="L94" s="10" t="s">
        <v>277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5" customHeight="1" x14ac:dyDescent="0.35">
      <c r="A95" s="10" t="s">
        <v>394</v>
      </c>
      <c r="B95" s="11" t="s">
        <v>269</v>
      </c>
      <c r="C95" s="10" t="s">
        <v>279</v>
      </c>
      <c r="D95" s="10" t="s">
        <v>397</v>
      </c>
      <c r="E95" s="10" t="s">
        <v>276</v>
      </c>
      <c r="F95" s="10"/>
      <c r="G95" s="10"/>
      <c r="H95" s="10"/>
      <c r="I95" s="12"/>
      <c r="J95" s="12"/>
      <c r="K95" s="10"/>
      <c r="L95" s="10" t="s">
        <v>281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5" customHeight="1" x14ac:dyDescent="0.35">
      <c r="A96" s="10" t="s">
        <v>394</v>
      </c>
      <c r="B96" s="11" t="s">
        <v>278</v>
      </c>
      <c r="C96" s="10" t="s">
        <v>270</v>
      </c>
      <c r="D96" s="10" t="s">
        <v>398</v>
      </c>
      <c r="E96" s="10" t="s">
        <v>276</v>
      </c>
      <c r="F96" s="10"/>
      <c r="G96" s="10"/>
      <c r="H96" s="10"/>
      <c r="I96" s="12"/>
      <c r="J96" s="12"/>
      <c r="K96" s="10"/>
      <c r="L96" s="10" t="s">
        <v>273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5" customHeight="1" x14ac:dyDescent="0.35">
      <c r="A97" s="13"/>
      <c r="B97" s="13"/>
      <c r="C97" s="13"/>
      <c r="D97" s="13"/>
      <c r="E97" s="13"/>
      <c r="F97" s="10"/>
      <c r="G97" s="10"/>
      <c r="H97" s="10"/>
      <c r="I97" s="12"/>
      <c r="J97" s="12"/>
      <c r="K97" s="10"/>
      <c r="L97" s="10" t="s">
        <v>273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5" customHeight="1" x14ac:dyDescent="0.35">
      <c r="A98" s="10" t="s">
        <v>399</v>
      </c>
      <c r="B98" s="11" t="s">
        <v>285</v>
      </c>
      <c r="C98" s="10" t="s">
        <v>282</v>
      </c>
      <c r="D98" s="10" t="s">
        <v>400</v>
      </c>
      <c r="E98" s="10" t="s">
        <v>272</v>
      </c>
      <c r="F98" s="10"/>
      <c r="G98" s="10"/>
      <c r="H98" s="10"/>
      <c r="I98" s="12"/>
      <c r="J98" s="12"/>
      <c r="K98" s="10"/>
      <c r="L98" s="10" t="s">
        <v>273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5" customHeight="1" x14ac:dyDescent="0.35">
      <c r="A99" s="10" t="s">
        <v>399</v>
      </c>
      <c r="B99" s="11" t="s">
        <v>285</v>
      </c>
      <c r="C99" s="10" t="s">
        <v>291</v>
      </c>
      <c r="D99" s="10" t="s">
        <v>325</v>
      </c>
      <c r="E99" s="10" t="s">
        <v>276</v>
      </c>
      <c r="F99" s="10"/>
      <c r="G99" s="10"/>
      <c r="H99" s="10"/>
      <c r="I99" s="12"/>
      <c r="J99" s="12"/>
      <c r="K99" s="10"/>
      <c r="L99" s="10" t="s">
        <v>277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5" customHeight="1" x14ac:dyDescent="0.35">
      <c r="A100" s="10" t="s">
        <v>399</v>
      </c>
      <c r="B100" s="11" t="s">
        <v>290</v>
      </c>
      <c r="C100" s="10" t="s">
        <v>286</v>
      </c>
      <c r="D100" s="10" t="s">
        <v>401</v>
      </c>
      <c r="E100" s="10" t="s">
        <v>288</v>
      </c>
      <c r="F100" s="10"/>
      <c r="G100" s="10"/>
      <c r="H100" s="10"/>
      <c r="I100" s="12"/>
      <c r="J100" s="12"/>
      <c r="K100" s="10"/>
      <c r="L100" s="10" t="s">
        <v>289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5" customHeight="1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5" customHeight="1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5" customHeight="1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5" customHeight="1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5" customHeight="1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5" customHeigh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5" customHeigh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5" customHeigh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5" customHeigh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5" customHeigh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5" customHeigh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5" customHeigh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5" customHeigh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5" customHeigh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5" customHeigh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5" customHeight="1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5" customHeight="1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5" customHeight="1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5" customHeight="1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5" customHeight="1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5" customHeigh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5" customHeigh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5" customHeigh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5" customHeigh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5" customHeigh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5" customHeigh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5" customHeight="1" x14ac:dyDescent="0.3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5" customHeight="1" x14ac:dyDescent="0.3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5" customHeight="1" x14ac:dyDescent="0.3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5" customHeight="1" x14ac:dyDescent="0.3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5" customHeight="1" x14ac:dyDescent="0.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5" customHeight="1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5" customHeight="1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5" customHeight="1" x14ac:dyDescent="0.3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5" customHeight="1" x14ac:dyDescent="0.3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5" customHeight="1" x14ac:dyDescent="0.3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5" customHeight="1" x14ac:dyDescent="0.3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5" customHeight="1" x14ac:dyDescent="0.3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5" customHeight="1" x14ac:dyDescent="0.3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5" customHeight="1" x14ac:dyDescent="0.3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5" customHeight="1" x14ac:dyDescent="0.3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5" customHeight="1" x14ac:dyDescent="0.3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5" customHeight="1" x14ac:dyDescent="0.3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5" customHeight="1" x14ac:dyDescent="0.3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5" customHeight="1" x14ac:dyDescent="0.3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5" customHeight="1" x14ac:dyDescent="0.3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5" customHeight="1" x14ac:dyDescent="0.3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5" customHeight="1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5" customHeight="1" x14ac:dyDescent="0.3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5" customHeight="1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5" customHeight="1" x14ac:dyDescent="0.3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5" customHeight="1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5" customHeight="1" x14ac:dyDescent="0.3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5" customHeight="1" x14ac:dyDescent="0.3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5" customHeight="1" x14ac:dyDescent="0.3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5" customHeight="1" x14ac:dyDescent="0.3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5" customHeight="1" x14ac:dyDescent="0.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5" customHeight="1" x14ac:dyDescent="0.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5" customHeight="1" x14ac:dyDescent="0.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5" customHeight="1" x14ac:dyDescent="0.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5" customHeight="1" x14ac:dyDescent="0.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5" customHeight="1" x14ac:dyDescent="0.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5" customHeight="1" x14ac:dyDescent="0.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5" customHeight="1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5" customHeight="1" x14ac:dyDescent="0.3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5" customHeight="1" x14ac:dyDescent="0.3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5" customHeight="1" x14ac:dyDescent="0.3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5" customHeight="1" x14ac:dyDescent="0.3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5" customHeight="1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5" customHeight="1" x14ac:dyDescent="0.3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5" customHeight="1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5" customHeight="1" x14ac:dyDescent="0.3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5" customHeight="1" x14ac:dyDescent="0.3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5" customHeight="1" x14ac:dyDescent="0.3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5" customHeight="1" x14ac:dyDescent="0.3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5" customHeight="1" x14ac:dyDescent="0.3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5" customHeight="1" x14ac:dyDescent="0.3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5" customHeight="1" x14ac:dyDescent="0.3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5" customHeight="1" x14ac:dyDescent="0.3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5" customHeight="1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5" customHeight="1" x14ac:dyDescent="0.3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5" customHeight="1" x14ac:dyDescent="0.3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5" customHeight="1" x14ac:dyDescent="0.3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5" customHeight="1" x14ac:dyDescent="0.3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5" customHeight="1" x14ac:dyDescent="0.3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5" customHeight="1" x14ac:dyDescent="0.3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5" customHeight="1" x14ac:dyDescent="0.3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5" customHeight="1" x14ac:dyDescent="0.3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5" customHeight="1" x14ac:dyDescent="0.3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5" customHeight="1" x14ac:dyDescent="0.3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5" customHeight="1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5" customHeight="1" x14ac:dyDescent="0.3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5" customHeight="1" x14ac:dyDescent="0.3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5" customHeight="1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5" customHeight="1" x14ac:dyDescent="0.3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5" customHeight="1" x14ac:dyDescent="0.3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5" customHeight="1" x14ac:dyDescent="0.3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5" customHeight="1" x14ac:dyDescent="0.3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5" customHeight="1" x14ac:dyDescent="0.3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5" customHeight="1" x14ac:dyDescent="0.3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5" customHeight="1" x14ac:dyDescent="0.3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5" customHeight="1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5" customHeight="1" x14ac:dyDescent="0.3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5" customHeight="1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5" customHeight="1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5" customHeight="1" x14ac:dyDescent="0.3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5" customHeight="1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5" customHeight="1" x14ac:dyDescent="0.3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5" customHeight="1" x14ac:dyDescent="0.3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5" customHeight="1" x14ac:dyDescent="0.3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5" customHeight="1" x14ac:dyDescent="0.3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5" customHeight="1" x14ac:dyDescent="0.3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5" customHeight="1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5" customHeight="1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5" customHeight="1" x14ac:dyDescent="0.3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5" customHeight="1" x14ac:dyDescent="0.3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5" customHeight="1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5" customHeight="1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5" customHeight="1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5" customHeight="1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5" customHeight="1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5" customHeight="1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5" customHeight="1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5" customHeight="1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5" customHeight="1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5" customHeight="1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5" customHeight="1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5" customHeight="1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5" customHeight="1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5" customHeight="1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5" customHeight="1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5" customHeight="1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5" customHeight="1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5" customHeight="1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5" customHeight="1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5" customHeight="1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5" customHeight="1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5" customHeight="1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5" customHeight="1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5" customHeight="1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5" customHeight="1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5" customHeight="1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5" customHeight="1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5" customHeight="1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5" customHeight="1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5" customHeight="1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5" customHeight="1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5" customHeight="1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5" customHeight="1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5" customHeight="1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5" customHeight="1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5" customHeight="1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5" customHeight="1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5" customHeight="1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5" customHeight="1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5" customHeight="1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5" customHeight="1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5" customHeight="1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5" customHeight="1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5" customHeight="1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5" customHeight="1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5" customHeight="1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5" customHeight="1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5" customHeight="1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5" customHeight="1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5" customHeight="1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5" customHeight="1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5" customHeight="1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5" customHeight="1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5" customHeight="1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5" customHeight="1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5" customHeight="1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5" customHeight="1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5" customHeight="1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5" customHeight="1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5" customHeight="1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5" customHeight="1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5" customHeight="1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5" customHeight="1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5" customHeight="1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5" customHeight="1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5" customHeight="1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5" customHeight="1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5" customHeight="1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5" customHeight="1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5" customHeight="1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5" customHeight="1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5" customHeight="1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5" customHeight="1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5" customHeight="1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5" customHeight="1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5" customHeight="1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5" customHeight="1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5" customHeight="1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5" customHeight="1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5" customHeight="1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5" customHeight="1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5" customHeight="1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5" customHeight="1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5" customHeight="1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5" customHeight="1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5" customHeight="1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5" customHeight="1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5" customHeight="1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5" customHeight="1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5" customHeight="1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5" customHeight="1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5" customHeight="1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5" customHeight="1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5" customHeight="1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5" customHeight="1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5" customHeight="1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5" customHeight="1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5" customHeight="1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5" customHeight="1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5" customHeight="1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5" customHeight="1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5" customHeight="1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5" customHeight="1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5" customHeight="1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5" customHeight="1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5" customHeight="1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5" customHeight="1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5" customHeight="1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5" customHeight="1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5" customHeight="1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5" customHeight="1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5" customHeight="1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5" customHeight="1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5" customHeight="1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5" customHeight="1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5" customHeight="1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5" customHeight="1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5" customHeight="1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5" customHeight="1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5" customHeight="1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5" customHeight="1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5" customHeight="1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5" customHeight="1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5" customHeight="1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5" customHeight="1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5" customHeight="1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5" customHeight="1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5" customHeight="1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5" customHeight="1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5" customHeight="1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5" customHeight="1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5" customHeight="1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5" customHeight="1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5" customHeight="1" x14ac:dyDescent="0.3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5" customHeight="1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5" customHeight="1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5" customHeight="1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5" customHeight="1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5" customHeight="1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5" customHeight="1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5" customHeight="1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5" customHeight="1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5" customHeight="1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5" customHeight="1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5" customHeight="1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5" customHeight="1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5" customHeight="1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5" customHeight="1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5" customHeight="1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5" customHeight="1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5" customHeight="1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5" customHeight="1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5" customHeight="1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5" customHeight="1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5" customHeight="1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5" customHeight="1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5" customHeight="1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5" customHeight="1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5" customHeight="1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5" customHeight="1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5" customHeight="1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5" customHeight="1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5" customHeight="1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5" customHeight="1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5" customHeight="1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5" customHeight="1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5" customHeight="1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5" customHeight="1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5" customHeight="1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5" customHeight="1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5" customHeight="1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5" customHeight="1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5" customHeight="1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5" customHeight="1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5" customHeight="1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5" customHeight="1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5" customHeight="1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5" customHeight="1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5" customHeight="1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5" customHeight="1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5" customHeight="1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5" customHeight="1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5" customHeight="1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5" customHeight="1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5" customHeight="1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5" customHeight="1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5" customHeight="1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5" customHeight="1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5" customHeight="1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5" customHeight="1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5" customHeight="1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5" customHeight="1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5" customHeight="1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5" customHeight="1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5" customHeight="1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5" customHeight="1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5" customHeight="1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5" customHeight="1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5" customHeight="1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5" customHeight="1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5" customHeight="1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5" customHeight="1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5" customHeight="1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5" customHeight="1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5" customHeight="1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5" customHeight="1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5" customHeight="1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5" customHeight="1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5" customHeight="1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5" customHeight="1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5" customHeight="1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5" customHeight="1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5" customHeight="1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5" customHeight="1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5" customHeight="1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5" customHeight="1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5" customHeight="1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5" customHeight="1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5" customHeight="1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5" customHeight="1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5" customHeight="1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5" customHeight="1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5" customHeight="1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5" customHeight="1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5" customHeight="1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5" customHeight="1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5" customHeight="1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5" customHeight="1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5" customHeight="1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5" customHeight="1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5" customHeight="1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5" customHeight="1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5" customHeight="1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5" customHeight="1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5" customHeight="1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5" customHeight="1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5" customHeight="1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5" customHeight="1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5" customHeight="1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5" customHeight="1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5" customHeight="1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5" customHeight="1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5" customHeight="1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5" customHeight="1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5" customHeight="1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5" customHeight="1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5" customHeight="1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5" customHeight="1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5" customHeight="1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5" customHeight="1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5" customHeight="1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5" customHeight="1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5" customHeight="1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5" customHeight="1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5" customHeight="1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5" customHeight="1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5" customHeight="1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5" customHeight="1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5" customHeight="1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5" customHeight="1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5" customHeight="1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5" customHeight="1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5" customHeight="1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5" customHeight="1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5" customHeight="1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5" customHeight="1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5" customHeight="1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5" customHeight="1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5" customHeight="1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5" customHeight="1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5" customHeight="1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5" customHeight="1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5" customHeight="1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5" customHeight="1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5" customHeight="1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5" customHeight="1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5" customHeight="1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5" customHeight="1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5" customHeight="1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5" customHeight="1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5" customHeight="1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5" customHeight="1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5" customHeight="1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5" customHeight="1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5" customHeight="1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5" customHeight="1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5" customHeight="1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5" customHeight="1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5" customHeight="1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5" customHeight="1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5" customHeight="1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5" customHeight="1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5" customHeight="1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5" customHeight="1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5" customHeight="1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5" customHeight="1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5" customHeight="1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5" customHeight="1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5" customHeight="1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5" customHeight="1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5" customHeight="1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5" customHeight="1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5" customHeight="1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5" customHeight="1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5" customHeight="1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5" customHeight="1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5" customHeight="1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5" customHeight="1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5" customHeight="1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5" customHeight="1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5" customHeight="1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5" customHeight="1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5" customHeight="1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5" customHeight="1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5" customHeight="1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5" customHeight="1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5" customHeight="1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5" customHeight="1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5" customHeight="1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5" customHeight="1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5" customHeight="1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5" customHeight="1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5" customHeight="1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5" customHeight="1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5" customHeight="1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5" customHeight="1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5" customHeight="1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5" customHeight="1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5" customHeight="1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5" customHeight="1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5" customHeight="1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5" customHeight="1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5" customHeight="1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5" customHeight="1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5" customHeight="1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5" customHeight="1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5" customHeight="1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5" customHeight="1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5" customHeight="1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5" customHeight="1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5" customHeight="1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5" customHeight="1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5" customHeight="1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5" customHeight="1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5" customHeight="1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5" customHeight="1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5" customHeight="1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5" customHeight="1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5" customHeight="1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5" customHeight="1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5" customHeight="1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5" customHeight="1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5" customHeight="1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5" customHeight="1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5" customHeight="1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5" customHeight="1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5" customHeight="1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5" customHeight="1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5" customHeight="1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5" customHeight="1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5" customHeight="1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5" customHeight="1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5" customHeight="1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5" customHeight="1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5" customHeight="1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5" customHeight="1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5" customHeight="1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5" customHeight="1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5" customHeight="1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5" customHeight="1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5" customHeight="1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5" customHeight="1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5" customHeight="1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5" customHeight="1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5" customHeight="1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5" customHeight="1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5" customHeight="1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5" customHeight="1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5" customHeight="1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5" customHeight="1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5" customHeight="1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5" customHeight="1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5" customHeight="1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5" customHeight="1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5" customHeight="1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5" customHeight="1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5" customHeight="1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5" customHeight="1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5" customHeight="1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5" customHeight="1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5" customHeight="1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5" customHeight="1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5" customHeight="1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5" customHeight="1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5" customHeight="1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5" customHeight="1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5" customHeight="1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5" customHeight="1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5" customHeight="1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5" customHeight="1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5" customHeight="1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5" customHeight="1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5" customHeight="1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5" customHeight="1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5" customHeight="1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5" customHeight="1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5" customHeight="1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5" customHeight="1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5" customHeight="1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5" customHeight="1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5" customHeight="1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5" customHeight="1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5" customHeight="1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5" customHeight="1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5" customHeight="1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5" customHeight="1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5" customHeight="1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5" customHeight="1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5" customHeight="1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5" customHeight="1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5" customHeight="1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5" customHeight="1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5" customHeight="1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5" customHeight="1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5" customHeight="1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5" customHeight="1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5" customHeight="1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5" customHeight="1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5" customHeight="1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5" customHeight="1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5" customHeight="1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5" customHeight="1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5" customHeight="1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5" customHeight="1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5" customHeight="1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5" customHeight="1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5" customHeight="1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5" customHeight="1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5" customHeight="1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5" customHeight="1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5" customHeight="1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5" customHeight="1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5" customHeight="1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5" customHeight="1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5" customHeight="1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5" customHeight="1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5" customHeight="1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5" customHeight="1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5" customHeight="1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5" customHeight="1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5" customHeight="1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5" customHeight="1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5" customHeight="1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5" customHeight="1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5" customHeight="1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5" customHeight="1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5" customHeight="1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5" customHeight="1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5" customHeight="1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5" customHeight="1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5" customHeight="1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5" customHeight="1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5" customHeight="1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5" customHeight="1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5" customHeight="1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5" customHeight="1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5" customHeight="1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5" customHeight="1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5" customHeight="1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5" customHeight="1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5" customHeight="1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5" customHeight="1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5" customHeight="1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5" customHeight="1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5" customHeight="1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5" customHeight="1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5" customHeight="1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5" customHeight="1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5" customHeight="1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5" customHeight="1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5" customHeight="1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5" customHeight="1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5" customHeight="1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5" customHeight="1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5" customHeight="1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5" customHeight="1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5" customHeight="1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5" customHeight="1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5" customHeight="1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5" customHeight="1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5" customHeight="1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5" customHeight="1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5" customHeight="1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5" customHeight="1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5" customHeight="1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5" customHeight="1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5" customHeight="1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5" customHeight="1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5" customHeight="1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5" customHeight="1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5" customHeight="1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5" customHeight="1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5" customHeight="1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5" customHeight="1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5" customHeight="1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5" customHeight="1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5" customHeight="1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5" customHeight="1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5" customHeight="1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5" customHeight="1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5" customHeight="1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5" customHeight="1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5" customHeight="1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5" customHeight="1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5" customHeight="1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5" customHeight="1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5" customHeight="1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5" customHeight="1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5" customHeight="1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5" customHeight="1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5" customHeight="1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5" customHeight="1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5" customHeight="1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5" customHeight="1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5" customHeight="1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5" customHeight="1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5" customHeight="1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5" customHeight="1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5" customHeight="1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5" customHeight="1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5" customHeight="1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5" customHeight="1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5" customHeight="1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5" customHeight="1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5" customHeight="1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5" customHeight="1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5" customHeight="1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5" customHeight="1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5" customHeight="1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5" customHeight="1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5" customHeight="1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5" customHeight="1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5" customHeight="1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5" customHeight="1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5" customHeight="1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5" customHeight="1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5" customHeight="1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5" customHeight="1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5" customHeight="1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5" customHeight="1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5" customHeight="1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5" customHeight="1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5" customHeight="1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5" customHeight="1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5" customHeight="1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5" customHeight="1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5" customHeight="1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5" customHeight="1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5" customHeight="1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5" customHeight="1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5" customHeight="1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5" customHeight="1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5" customHeight="1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5" customHeight="1" x14ac:dyDescent="0.3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5" customHeight="1" x14ac:dyDescent="0.3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5" customHeight="1" x14ac:dyDescent="0.3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5" customHeight="1" x14ac:dyDescent="0.3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5" customHeight="1" x14ac:dyDescent="0.3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5" customHeight="1" x14ac:dyDescent="0.3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5" customHeight="1" x14ac:dyDescent="0.3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5" customHeight="1" x14ac:dyDescent="0.3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5" customHeight="1" x14ac:dyDescent="0.3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5" customHeight="1" x14ac:dyDescent="0.3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5" customHeight="1" x14ac:dyDescent="0.3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5" customHeight="1" x14ac:dyDescent="0.3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5" customHeight="1" x14ac:dyDescent="0.3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5" customHeight="1" x14ac:dyDescent="0.3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5" customHeight="1" x14ac:dyDescent="0.3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5" customHeight="1" x14ac:dyDescent="0.3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5" customHeight="1" x14ac:dyDescent="0.3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5" customHeight="1" x14ac:dyDescent="0.3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5" customHeight="1" x14ac:dyDescent="0.3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5" customHeight="1" x14ac:dyDescent="0.3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5" customHeight="1" x14ac:dyDescent="0.3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5" customHeight="1" x14ac:dyDescent="0.3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5" customHeight="1" x14ac:dyDescent="0.3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5" customHeight="1" x14ac:dyDescent="0.3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5" customHeight="1" x14ac:dyDescent="0.3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5" customHeight="1" x14ac:dyDescent="0.3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5" customHeight="1" x14ac:dyDescent="0.3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5" customHeight="1" x14ac:dyDescent="0.3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5" customHeight="1" x14ac:dyDescent="0.3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5" customHeight="1" x14ac:dyDescent="0.3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5" customHeight="1" x14ac:dyDescent="0.3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5" customHeight="1" x14ac:dyDescent="0.3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5" customHeight="1" x14ac:dyDescent="0.3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5" customHeight="1" x14ac:dyDescent="0.3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5" customHeight="1" x14ac:dyDescent="0.3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5" customHeight="1" x14ac:dyDescent="0.3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5" customHeight="1" x14ac:dyDescent="0.3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5" customHeight="1" x14ac:dyDescent="0.3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5" customHeight="1" x14ac:dyDescent="0.3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5" customHeight="1" x14ac:dyDescent="0.3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5" customHeight="1" x14ac:dyDescent="0.3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5" customHeight="1" x14ac:dyDescent="0.3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5" customHeight="1" x14ac:dyDescent="0.3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5" customHeight="1" x14ac:dyDescent="0.3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5" customHeight="1" x14ac:dyDescent="0.3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5" customHeight="1" x14ac:dyDescent="0.3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5" customHeight="1" x14ac:dyDescent="0.3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5" customHeight="1" x14ac:dyDescent="0.3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5" customHeight="1" x14ac:dyDescent="0.3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5" customHeight="1" x14ac:dyDescent="0.3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5" customHeight="1" x14ac:dyDescent="0.3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5" customHeight="1" x14ac:dyDescent="0.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5" customHeight="1" x14ac:dyDescent="0.3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5" customHeight="1" x14ac:dyDescent="0.3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5" customHeight="1" x14ac:dyDescent="0.3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5" customHeight="1" x14ac:dyDescent="0.3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5" customHeight="1" x14ac:dyDescent="0.3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5" customHeight="1" x14ac:dyDescent="0.3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5" customHeight="1" x14ac:dyDescent="0.3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5" customHeight="1" x14ac:dyDescent="0.3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5" customHeight="1" x14ac:dyDescent="0.3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5" customHeight="1" x14ac:dyDescent="0.3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5" customHeight="1" x14ac:dyDescent="0.3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5" customHeight="1" x14ac:dyDescent="0.3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5" customHeight="1" x14ac:dyDescent="0.3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5" customHeight="1" x14ac:dyDescent="0.3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5" customHeight="1" x14ac:dyDescent="0.3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5" customHeight="1" x14ac:dyDescent="0.3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5" customHeight="1" x14ac:dyDescent="0.3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5" customHeight="1" x14ac:dyDescent="0.3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5" customHeight="1" x14ac:dyDescent="0.3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5" customHeight="1" x14ac:dyDescent="0.3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5" customHeight="1" x14ac:dyDescent="0.3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5" customHeight="1" x14ac:dyDescent="0.3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5" customHeight="1" x14ac:dyDescent="0.3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5" customHeight="1" x14ac:dyDescent="0.3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5" customHeight="1" x14ac:dyDescent="0.3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5" customHeight="1" x14ac:dyDescent="0.3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5" customHeight="1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5" customHeight="1" x14ac:dyDescent="0.3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5" customHeight="1" x14ac:dyDescent="0.3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5" customHeight="1" x14ac:dyDescent="0.3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5" customHeight="1" x14ac:dyDescent="0.3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5" customHeight="1" x14ac:dyDescent="0.3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5" customHeight="1" x14ac:dyDescent="0.3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5" customHeight="1" x14ac:dyDescent="0.3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5" customHeight="1" x14ac:dyDescent="0.3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5" customHeight="1" x14ac:dyDescent="0.3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5" customHeight="1" x14ac:dyDescent="0.3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5" customHeight="1" x14ac:dyDescent="0.3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5" customHeight="1" x14ac:dyDescent="0.3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5" customHeight="1" x14ac:dyDescent="0.3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5" customHeight="1" x14ac:dyDescent="0.3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5" customHeight="1" x14ac:dyDescent="0.3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5" customHeight="1" x14ac:dyDescent="0.3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5" customHeight="1" x14ac:dyDescent="0.3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5" customHeight="1" x14ac:dyDescent="0.3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5" customHeight="1" x14ac:dyDescent="0.3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5" customHeight="1" x14ac:dyDescent="0.3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5" customHeight="1" x14ac:dyDescent="0.3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5" customHeight="1" x14ac:dyDescent="0.3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5" customHeight="1" x14ac:dyDescent="0.3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5" customHeight="1" x14ac:dyDescent="0.3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5" customHeight="1" x14ac:dyDescent="0.3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5" customHeight="1" x14ac:dyDescent="0.3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5" customHeight="1" x14ac:dyDescent="0.3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5" customHeight="1" x14ac:dyDescent="0.3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5" customHeight="1" x14ac:dyDescent="0.3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5" customHeight="1" x14ac:dyDescent="0.3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5" customHeight="1" x14ac:dyDescent="0.3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5" customHeight="1" x14ac:dyDescent="0.3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5" customHeight="1" x14ac:dyDescent="0.3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5" customHeight="1" x14ac:dyDescent="0.3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5" customHeight="1" x14ac:dyDescent="0.3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5" customHeight="1" x14ac:dyDescent="0.3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5" customHeight="1" x14ac:dyDescent="0.3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5" customHeight="1" x14ac:dyDescent="0.3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5" customHeight="1" x14ac:dyDescent="0.3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5" customHeight="1" x14ac:dyDescent="0.3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5" customHeight="1" x14ac:dyDescent="0.3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5" customHeight="1" x14ac:dyDescent="0.3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5" customHeight="1" x14ac:dyDescent="0.3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5" customHeight="1" x14ac:dyDescent="0.3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5" customHeight="1" x14ac:dyDescent="0.3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5" customHeight="1" x14ac:dyDescent="0.3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5" customHeight="1" x14ac:dyDescent="0.3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5" customHeight="1" x14ac:dyDescent="0.3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5" customHeight="1" x14ac:dyDescent="0.3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5" customHeight="1" x14ac:dyDescent="0.3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5" customHeight="1" x14ac:dyDescent="0.3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5" customHeight="1" x14ac:dyDescent="0.3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5" customHeight="1" x14ac:dyDescent="0.3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5" customHeight="1" x14ac:dyDescent="0.3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5" customHeight="1" x14ac:dyDescent="0.3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5" customHeight="1" x14ac:dyDescent="0.3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5" customHeight="1" x14ac:dyDescent="0.3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5" customHeight="1" x14ac:dyDescent="0.3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5" customHeight="1" x14ac:dyDescent="0.3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5" customHeight="1" x14ac:dyDescent="0.3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5" customHeight="1" x14ac:dyDescent="0.3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5" customHeight="1" x14ac:dyDescent="0.3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5" customHeight="1" x14ac:dyDescent="0.3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5" customHeight="1" x14ac:dyDescent="0.3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5" customHeight="1" x14ac:dyDescent="0.3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5" customHeight="1" x14ac:dyDescent="0.3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5" customHeight="1" x14ac:dyDescent="0.3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5" customHeight="1" x14ac:dyDescent="0.3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5" customHeight="1" x14ac:dyDescent="0.3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5" customHeight="1" x14ac:dyDescent="0.3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5" customHeight="1" x14ac:dyDescent="0.3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5" customHeight="1" x14ac:dyDescent="0.3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5" customHeight="1" x14ac:dyDescent="0.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5" customHeight="1" x14ac:dyDescent="0.3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5" customHeight="1" x14ac:dyDescent="0.3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5" customHeight="1" x14ac:dyDescent="0.3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5" customHeight="1" x14ac:dyDescent="0.3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5" customHeight="1" x14ac:dyDescent="0.3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5" customHeight="1" x14ac:dyDescent="0.3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5" customHeight="1" x14ac:dyDescent="0.3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5" customHeight="1" x14ac:dyDescent="0.3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5" customHeight="1" x14ac:dyDescent="0.3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5" customHeight="1" x14ac:dyDescent="0.3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5" customHeight="1" x14ac:dyDescent="0.3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5" customHeight="1" x14ac:dyDescent="0.3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5" customHeight="1" x14ac:dyDescent="0.3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5" customHeight="1" x14ac:dyDescent="0.3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5" customHeight="1" x14ac:dyDescent="0.3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5" customHeight="1" x14ac:dyDescent="0.3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5" customHeight="1" x14ac:dyDescent="0.3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5" customHeight="1" x14ac:dyDescent="0.3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5" customHeight="1" x14ac:dyDescent="0.3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5" customHeight="1" x14ac:dyDescent="0.3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5" customHeight="1" x14ac:dyDescent="0.3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5" customHeight="1" x14ac:dyDescent="0.3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5" customHeight="1" x14ac:dyDescent="0.3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5" customHeight="1" x14ac:dyDescent="0.3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5" customHeight="1" x14ac:dyDescent="0.3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5" customHeight="1" x14ac:dyDescent="0.3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5" customHeight="1" x14ac:dyDescent="0.3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5" customHeight="1" x14ac:dyDescent="0.3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5" customHeight="1" x14ac:dyDescent="0.3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5" customHeight="1" x14ac:dyDescent="0.3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5" customHeight="1" x14ac:dyDescent="0.3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5" customHeight="1" x14ac:dyDescent="0.3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5" customHeight="1" x14ac:dyDescent="0.3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5" customHeight="1" x14ac:dyDescent="0.3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5" customHeight="1" x14ac:dyDescent="0.3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5" customHeight="1" x14ac:dyDescent="0.3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5" customHeight="1" x14ac:dyDescent="0.3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5" customHeight="1" x14ac:dyDescent="0.3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5" customHeight="1" x14ac:dyDescent="0.3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5" customHeight="1" x14ac:dyDescent="0.3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5" customHeight="1" x14ac:dyDescent="0.3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5" customHeight="1" x14ac:dyDescent="0.3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5" customHeight="1" x14ac:dyDescent="0.3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5" customHeight="1" x14ac:dyDescent="0.3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5" customHeight="1" x14ac:dyDescent="0.3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5" customHeight="1" x14ac:dyDescent="0.3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5" customHeight="1" x14ac:dyDescent="0.3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5" customHeight="1" x14ac:dyDescent="0.3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5" customHeight="1" x14ac:dyDescent="0.3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5" customHeight="1" x14ac:dyDescent="0.3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5" customHeight="1" x14ac:dyDescent="0.3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5" customHeight="1" x14ac:dyDescent="0.3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5" customHeight="1" x14ac:dyDescent="0.3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5" customHeight="1" x14ac:dyDescent="0.3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5" customHeight="1" x14ac:dyDescent="0.3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5" customHeight="1" x14ac:dyDescent="0.3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5" customHeight="1" x14ac:dyDescent="0.3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5" customHeight="1" x14ac:dyDescent="0.3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5" customHeight="1" x14ac:dyDescent="0.3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5" customHeight="1" x14ac:dyDescent="0.3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5" customHeight="1" x14ac:dyDescent="0.3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5" customHeight="1" x14ac:dyDescent="0.3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5" customHeight="1" x14ac:dyDescent="0.3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5" customHeight="1" x14ac:dyDescent="0.3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5" customHeight="1" x14ac:dyDescent="0.3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5.5" customHeight="1" x14ac:dyDescent="0.3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5.5" customHeight="1" x14ac:dyDescent="0.3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.5" customHeight="1" x14ac:dyDescent="0.3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.5" customHeight="1" x14ac:dyDescent="0.3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.5" customHeight="1" x14ac:dyDescent="0.3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.5" customHeight="1" x14ac:dyDescent="0.3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.5" customHeight="1" x14ac:dyDescent="0.3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.5" customHeight="1" x14ac:dyDescent="0.3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.5" customHeight="1" x14ac:dyDescent="0.3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.5" customHeight="1" x14ac:dyDescent="0.3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.5" customHeight="1" x14ac:dyDescent="0.3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.5" customHeight="1" x14ac:dyDescent="0.3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.5" customHeight="1" x14ac:dyDescent="0.3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8"/>
  <sheetViews>
    <sheetView topLeftCell="A116" workbookViewId="0">
      <selection activeCell="I118" sqref="I118"/>
    </sheetView>
  </sheetViews>
  <sheetFormatPr defaultRowHeight="12.5" x14ac:dyDescent="0.25"/>
  <cols>
    <col min="1" max="1" width="14" customWidth="1"/>
    <col min="2" max="2" width="15.54296875" customWidth="1"/>
    <col min="3" max="3" width="11.81640625" customWidth="1"/>
    <col min="5" max="5" width="8.7265625" style="54" customWidth="1"/>
    <col min="9" max="9" width="32.90625" customWidth="1"/>
  </cols>
  <sheetData>
    <row r="1" spans="1:9" ht="47" customHeight="1" thickBot="1" x14ac:dyDescent="0.4">
      <c r="A1" s="27" t="s">
        <v>0</v>
      </c>
      <c r="B1" s="28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9" t="s">
        <v>7</v>
      </c>
      <c r="I1" s="27" t="s">
        <v>8</v>
      </c>
    </row>
    <row r="2" spans="1:9" ht="16" customHeight="1" thickBot="1" x14ac:dyDescent="0.4">
      <c r="A2" s="58" t="s">
        <v>9</v>
      </c>
      <c r="B2" s="59"/>
      <c r="C2" s="55">
        <v>0</v>
      </c>
      <c r="D2" s="56"/>
      <c r="E2" s="57"/>
      <c r="F2" s="30"/>
      <c r="G2" s="30"/>
      <c r="H2" s="30">
        <v>0</v>
      </c>
      <c r="I2" s="30"/>
    </row>
    <row r="3" spans="1:9" ht="31.5" customHeight="1" thickBot="1" x14ac:dyDescent="0.4">
      <c r="A3" s="31" t="s">
        <v>10</v>
      </c>
      <c r="B3" s="32" t="s">
        <v>11</v>
      </c>
      <c r="C3" s="33"/>
      <c r="D3" s="34" t="s">
        <v>12</v>
      </c>
      <c r="E3" s="52">
        <v>0</v>
      </c>
      <c r="F3" s="34">
        <v>0</v>
      </c>
      <c r="G3" s="34">
        <v>0</v>
      </c>
      <c r="H3" s="35">
        <v>0</v>
      </c>
      <c r="I3" s="33"/>
    </row>
    <row r="4" spans="1:9" ht="31.5" customHeight="1" thickBot="1" x14ac:dyDescent="0.4">
      <c r="A4" s="36" t="s">
        <v>13</v>
      </c>
      <c r="B4" s="37" t="s">
        <v>14</v>
      </c>
      <c r="C4" s="38" t="s">
        <v>15</v>
      </c>
      <c r="D4" s="38" t="s">
        <v>16</v>
      </c>
      <c r="E4" s="53">
        <v>0</v>
      </c>
      <c r="F4" s="38">
        <v>0</v>
      </c>
      <c r="G4" s="38">
        <v>0</v>
      </c>
      <c r="H4" s="39">
        <v>0</v>
      </c>
      <c r="I4" s="30"/>
    </row>
    <row r="5" spans="1:9" ht="31.5" customHeight="1" thickBot="1" x14ac:dyDescent="0.4">
      <c r="A5" s="40" t="s">
        <v>17</v>
      </c>
      <c r="B5" s="32" t="s">
        <v>18</v>
      </c>
      <c r="C5" s="34" t="s">
        <v>15</v>
      </c>
      <c r="D5" s="34" t="s">
        <v>12</v>
      </c>
      <c r="E5" s="52">
        <v>0</v>
      </c>
      <c r="F5" s="41">
        <v>0</v>
      </c>
      <c r="G5" s="34">
        <v>0</v>
      </c>
      <c r="H5" s="35">
        <v>0</v>
      </c>
      <c r="I5" s="33"/>
    </row>
    <row r="6" spans="1:9" ht="31.5" customHeight="1" thickBot="1" x14ac:dyDescent="0.4">
      <c r="A6" s="36" t="s">
        <v>19</v>
      </c>
      <c r="B6" s="37" t="s">
        <v>20</v>
      </c>
      <c r="C6" s="30"/>
      <c r="D6" s="38" t="s">
        <v>12</v>
      </c>
      <c r="E6" s="53">
        <v>0</v>
      </c>
      <c r="F6" s="38">
        <v>0</v>
      </c>
      <c r="G6" s="38">
        <v>0</v>
      </c>
      <c r="H6" s="39">
        <v>0</v>
      </c>
      <c r="I6" s="30"/>
    </row>
    <row r="7" spans="1:9" ht="31.5" customHeight="1" thickBot="1" x14ac:dyDescent="0.4">
      <c r="A7" s="40" t="s">
        <v>21</v>
      </c>
      <c r="B7" s="32" t="s">
        <v>22</v>
      </c>
      <c r="C7" s="34" t="s">
        <v>23</v>
      </c>
      <c r="D7" s="34" t="s">
        <v>12</v>
      </c>
      <c r="E7" s="52">
        <v>0</v>
      </c>
      <c r="F7" s="34">
        <v>0</v>
      </c>
      <c r="G7" s="34">
        <v>0</v>
      </c>
      <c r="H7" s="35">
        <v>0</v>
      </c>
      <c r="I7" s="33"/>
    </row>
    <row r="8" spans="1:9" ht="31.5" customHeight="1" thickBot="1" x14ac:dyDescent="0.4">
      <c r="A8" s="36" t="s">
        <v>24</v>
      </c>
      <c r="B8" s="37" t="s">
        <v>25</v>
      </c>
      <c r="C8" s="30"/>
      <c r="D8" s="38" t="s">
        <v>12</v>
      </c>
      <c r="E8" s="53">
        <v>0</v>
      </c>
      <c r="F8" s="38">
        <v>0</v>
      </c>
      <c r="G8" s="38">
        <v>0</v>
      </c>
      <c r="H8" s="39">
        <v>0</v>
      </c>
      <c r="I8" s="30"/>
    </row>
    <row r="9" spans="1:9" ht="31.5" customHeight="1" thickBot="1" x14ac:dyDescent="0.4">
      <c r="A9" s="40" t="s">
        <v>26</v>
      </c>
      <c r="B9" s="32" t="s">
        <v>27</v>
      </c>
      <c r="C9" s="33"/>
      <c r="D9" s="34" t="s">
        <v>28</v>
      </c>
      <c r="E9" s="52">
        <v>0</v>
      </c>
      <c r="F9" s="34">
        <v>0</v>
      </c>
      <c r="G9" s="34">
        <v>0</v>
      </c>
      <c r="H9" s="35">
        <v>0</v>
      </c>
      <c r="I9" s="33"/>
    </row>
    <row r="10" spans="1:9" ht="31.5" customHeight="1" thickBot="1" x14ac:dyDescent="0.4">
      <c r="A10" s="36" t="s">
        <v>29</v>
      </c>
      <c r="B10" s="37" t="s">
        <v>30</v>
      </c>
      <c r="C10" s="38" t="s">
        <v>23</v>
      </c>
      <c r="D10" s="38" t="s">
        <v>12</v>
      </c>
      <c r="E10" s="53">
        <v>0</v>
      </c>
      <c r="F10" s="38">
        <v>0</v>
      </c>
      <c r="G10" s="38">
        <v>0</v>
      </c>
      <c r="H10" s="39">
        <v>0</v>
      </c>
      <c r="I10" s="30"/>
    </row>
    <row r="11" spans="1:9" ht="31.5" customHeight="1" thickBot="1" x14ac:dyDescent="0.4">
      <c r="A11" s="40" t="s">
        <v>31</v>
      </c>
      <c r="B11" s="32" t="s">
        <v>32</v>
      </c>
      <c r="C11" s="34" t="s">
        <v>23</v>
      </c>
      <c r="D11" s="34" t="s">
        <v>12</v>
      </c>
      <c r="E11" s="52">
        <v>0</v>
      </c>
      <c r="F11" s="34">
        <v>0</v>
      </c>
      <c r="G11" s="34">
        <v>0</v>
      </c>
      <c r="H11" s="35">
        <v>0</v>
      </c>
      <c r="I11" s="33"/>
    </row>
    <row r="12" spans="1:9" ht="31.5" customHeight="1" thickBot="1" x14ac:dyDescent="0.4">
      <c r="A12" s="36" t="s">
        <v>33</v>
      </c>
      <c r="B12" s="37" t="s">
        <v>34</v>
      </c>
      <c r="C12" s="30"/>
      <c r="D12" s="38" t="s">
        <v>12</v>
      </c>
      <c r="E12" s="53">
        <v>0</v>
      </c>
      <c r="F12" s="38">
        <v>0</v>
      </c>
      <c r="G12" s="38">
        <v>0</v>
      </c>
      <c r="H12" s="39">
        <v>0</v>
      </c>
      <c r="I12" s="30"/>
    </row>
    <row r="13" spans="1:9" ht="31.5" customHeight="1" thickBot="1" x14ac:dyDescent="0.4">
      <c r="A13" s="42" t="s">
        <v>35</v>
      </c>
      <c r="B13" s="43" t="s">
        <v>36</v>
      </c>
      <c r="C13" s="33"/>
      <c r="D13" s="34" t="s">
        <v>12</v>
      </c>
      <c r="E13" s="52">
        <v>0</v>
      </c>
      <c r="F13" s="34">
        <v>0</v>
      </c>
      <c r="G13" s="34">
        <v>0</v>
      </c>
      <c r="H13" s="35">
        <v>0</v>
      </c>
      <c r="I13" s="33"/>
    </row>
    <row r="14" spans="1:9" ht="31.5" customHeight="1" thickBot="1" x14ac:dyDescent="0.4">
      <c r="A14" s="44" t="s">
        <v>37</v>
      </c>
      <c r="B14" s="45" t="s">
        <v>38</v>
      </c>
      <c r="C14" s="30"/>
      <c r="D14" s="38" t="s">
        <v>12</v>
      </c>
      <c r="E14" s="53">
        <v>0</v>
      </c>
      <c r="F14" s="38">
        <v>0</v>
      </c>
      <c r="G14" s="38">
        <v>0</v>
      </c>
      <c r="H14" s="39">
        <v>0</v>
      </c>
      <c r="I14" s="30"/>
    </row>
    <row r="15" spans="1:9" ht="31.5" customHeight="1" thickBot="1" x14ac:dyDescent="0.4">
      <c r="A15" s="42" t="s">
        <v>39</v>
      </c>
      <c r="B15" s="43" t="s">
        <v>40</v>
      </c>
      <c r="C15" s="33"/>
      <c r="D15" s="34" t="s">
        <v>12</v>
      </c>
      <c r="E15" s="52">
        <v>0</v>
      </c>
      <c r="F15" s="34">
        <v>0</v>
      </c>
      <c r="G15" s="34">
        <v>0</v>
      </c>
      <c r="H15" s="35">
        <v>0</v>
      </c>
      <c r="I15" s="33"/>
    </row>
    <row r="16" spans="1:9" ht="31.5" customHeight="1" thickBot="1" x14ac:dyDescent="0.4">
      <c r="A16" s="46" t="s">
        <v>41</v>
      </c>
      <c r="B16" s="45" t="s">
        <v>42</v>
      </c>
      <c r="C16" s="38" t="s">
        <v>43</v>
      </c>
      <c r="D16" s="38" t="s">
        <v>12</v>
      </c>
      <c r="E16" s="53">
        <v>0</v>
      </c>
      <c r="F16" s="38">
        <v>0</v>
      </c>
      <c r="G16" s="38">
        <v>0</v>
      </c>
      <c r="H16" s="39">
        <v>0</v>
      </c>
      <c r="I16" s="30"/>
    </row>
    <row r="17" spans="1:9" ht="31.5" customHeight="1" thickBot="1" x14ac:dyDescent="0.4">
      <c r="A17" s="47" t="s">
        <v>44</v>
      </c>
      <c r="B17" s="43" t="s">
        <v>45</v>
      </c>
      <c r="C17" s="34" t="s">
        <v>15</v>
      </c>
      <c r="D17" s="34" t="s">
        <v>12</v>
      </c>
      <c r="E17" s="35">
        <v>12</v>
      </c>
      <c r="F17" s="34">
        <v>0</v>
      </c>
      <c r="G17" s="34">
        <v>0</v>
      </c>
      <c r="H17" s="35">
        <v>12</v>
      </c>
      <c r="I17" s="34" t="s">
        <v>46</v>
      </c>
    </row>
    <row r="18" spans="1:9" ht="13" customHeight="1" thickBot="1" x14ac:dyDescent="0.3">
      <c r="A18" s="30"/>
      <c r="B18" s="30"/>
      <c r="C18" s="30"/>
      <c r="D18" s="30"/>
      <c r="E18" s="53">
        <v>0</v>
      </c>
      <c r="F18" s="30"/>
      <c r="G18" s="30"/>
      <c r="H18" s="30">
        <v>0</v>
      </c>
      <c r="I18" s="30"/>
    </row>
    <row r="19" spans="1:9" ht="16" customHeight="1" thickBot="1" x14ac:dyDescent="0.4">
      <c r="A19" s="60" t="s">
        <v>47</v>
      </c>
      <c r="B19" s="57"/>
      <c r="C19" s="61"/>
      <c r="D19" s="57"/>
      <c r="E19" s="52">
        <v>0</v>
      </c>
      <c r="F19" s="33"/>
      <c r="G19" s="33"/>
      <c r="H19" s="33">
        <v>0</v>
      </c>
      <c r="I19" s="33"/>
    </row>
    <row r="20" spans="1:9" ht="93.5" customHeight="1" thickBot="1" x14ac:dyDescent="0.4">
      <c r="A20" s="38" t="s">
        <v>48</v>
      </c>
      <c r="B20" s="48" t="s">
        <v>49</v>
      </c>
      <c r="C20" s="38" t="s">
        <v>15</v>
      </c>
      <c r="D20" s="38" t="s">
        <v>50</v>
      </c>
      <c r="E20" s="39">
        <v>4</v>
      </c>
      <c r="F20" s="38">
        <v>0</v>
      </c>
      <c r="G20" s="38">
        <v>0</v>
      </c>
      <c r="H20" s="39">
        <v>4</v>
      </c>
      <c r="I20" s="38" t="s">
        <v>51</v>
      </c>
    </row>
    <row r="21" spans="1:9" ht="47" customHeight="1" thickBot="1" x14ac:dyDescent="0.4">
      <c r="A21" s="34" t="s">
        <v>52</v>
      </c>
      <c r="B21" s="34" t="s">
        <v>53</v>
      </c>
      <c r="C21" s="33"/>
      <c r="D21" s="34" t="s">
        <v>12</v>
      </c>
      <c r="E21" s="52">
        <v>0</v>
      </c>
      <c r="F21" s="34">
        <v>0</v>
      </c>
      <c r="G21" s="34">
        <v>0</v>
      </c>
      <c r="H21" s="35">
        <v>0</v>
      </c>
      <c r="I21" s="34" t="s">
        <v>54</v>
      </c>
    </row>
    <row r="22" spans="1:9" ht="31.5" customHeight="1" thickBot="1" x14ac:dyDescent="0.4">
      <c r="A22" s="38" t="s">
        <v>55</v>
      </c>
      <c r="B22" s="48" t="s">
        <v>56</v>
      </c>
      <c r="C22" s="38" t="s">
        <v>15</v>
      </c>
      <c r="D22" s="38" t="s">
        <v>12</v>
      </c>
      <c r="E22" s="53">
        <v>0</v>
      </c>
      <c r="F22" s="38">
        <v>0</v>
      </c>
      <c r="G22" s="38">
        <v>0</v>
      </c>
      <c r="H22" s="39">
        <v>0</v>
      </c>
      <c r="I22" s="30"/>
    </row>
    <row r="23" spans="1:9" ht="31.5" customHeight="1" thickBot="1" x14ac:dyDescent="0.4">
      <c r="A23" s="34" t="s">
        <v>57</v>
      </c>
      <c r="B23" s="49" t="s">
        <v>58</v>
      </c>
      <c r="C23" s="34" t="s">
        <v>15</v>
      </c>
      <c r="D23" s="34" t="s">
        <v>12</v>
      </c>
      <c r="E23" s="52">
        <v>0</v>
      </c>
      <c r="F23" s="34">
        <v>0</v>
      </c>
      <c r="G23" s="34">
        <v>0</v>
      </c>
      <c r="H23" s="35">
        <v>0</v>
      </c>
      <c r="I23" s="33"/>
    </row>
    <row r="24" spans="1:9" ht="31.5" customHeight="1" thickBot="1" x14ac:dyDescent="0.4">
      <c r="A24" s="38" t="s">
        <v>59</v>
      </c>
      <c r="B24" s="48" t="s">
        <v>60</v>
      </c>
      <c r="C24" s="38" t="s">
        <v>15</v>
      </c>
      <c r="D24" s="38" t="s">
        <v>12</v>
      </c>
      <c r="E24" s="53">
        <v>4</v>
      </c>
      <c r="F24" s="38">
        <v>0</v>
      </c>
      <c r="G24" s="38">
        <v>0</v>
      </c>
      <c r="H24" s="39">
        <v>4</v>
      </c>
      <c r="I24" s="38" t="s">
        <v>61</v>
      </c>
    </row>
    <row r="25" spans="1:9" ht="31.5" customHeight="1" thickBot="1" x14ac:dyDescent="0.4">
      <c r="A25" s="34" t="s">
        <v>62</v>
      </c>
      <c r="B25" s="49" t="s">
        <v>63</v>
      </c>
      <c r="C25" s="34" t="s">
        <v>15</v>
      </c>
      <c r="D25" s="34" t="s">
        <v>12</v>
      </c>
      <c r="E25" s="52">
        <v>0</v>
      </c>
      <c r="F25" s="34">
        <v>0</v>
      </c>
      <c r="G25" s="34">
        <v>0</v>
      </c>
      <c r="H25" s="35">
        <v>0</v>
      </c>
      <c r="I25" s="33"/>
    </row>
    <row r="26" spans="1:9" ht="78" customHeight="1" thickBot="1" x14ac:dyDescent="0.4">
      <c r="A26" s="38" t="s">
        <v>64</v>
      </c>
      <c r="B26" s="48" t="s">
        <v>65</v>
      </c>
      <c r="C26" s="38" t="s">
        <v>15</v>
      </c>
      <c r="D26" s="38" t="s">
        <v>12</v>
      </c>
      <c r="E26" s="39">
        <v>10</v>
      </c>
      <c r="F26" s="38">
        <v>0</v>
      </c>
      <c r="G26" s="38">
        <v>0</v>
      </c>
      <c r="H26" s="39">
        <v>10</v>
      </c>
      <c r="I26" s="38" t="s">
        <v>66</v>
      </c>
    </row>
    <row r="27" spans="1:9" ht="47" customHeight="1" thickBot="1" x14ac:dyDescent="0.4">
      <c r="A27" s="34" t="s">
        <v>67</v>
      </c>
      <c r="B27" s="49" t="s">
        <v>68</v>
      </c>
      <c r="C27" s="33"/>
      <c r="D27" s="34" t="s">
        <v>12</v>
      </c>
      <c r="E27" s="52">
        <v>0</v>
      </c>
      <c r="F27" s="34">
        <v>0</v>
      </c>
      <c r="G27" s="34">
        <v>0</v>
      </c>
      <c r="H27" s="35">
        <v>0</v>
      </c>
      <c r="I27" s="33"/>
    </row>
    <row r="28" spans="1:9" ht="31.5" customHeight="1" thickBot="1" x14ac:dyDescent="0.4">
      <c r="A28" s="38" t="s">
        <v>69</v>
      </c>
      <c r="B28" s="48" t="s">
        <v>70</v>
      </c>
      <c r="C28" s="38" t="s">
        <v>15</v>
      </c>
      <c r="D28" s="38" t="s">
        <v>50</v>
      </c>
      <c r="E28" s="53">
        <v>0</v>
      </c>
      <c r="F28" s="38">
        <v>0</v>
      </c>
      <c r="G28" s="38">
        <v>0</v>
      </c>
      <c r="H28" s="39">
        <v>0</v>
      </c>
      <c r="I28" s="30"/>
    </row>
    <row r="29" spans="1:9" ht="31.5" customHeight="1" thickBot="1" x14ac:dyDescent="0.4">
      <c r="A29" s="34" t="s">
        <v>71</v>
      </c>
      <c r="B29" s="49" t="s">
        <v>72</v>
      </c>
      <c r="C29" s="33"/>
      <c r="D29" s="34" t="s">
        <v>12</v>
      </c>
      <c r="E29" s="52">
        <v>0</v>
      </c>
      <c r="F29" s="34">
        <v>0</v>
      </c>
      <c r="G29" s="34">
        <v>0</v>
      </c>
      <c r="H29" s="35">
        <v>0</v>
      </c>
      <c r="I29" s="33"/>
    </row>
    <row r="30" spans="1:9" ht="31.5" customHeight="1" thickBot="1" x14ac:dyDescent="0.4">
      <c r="A30" s="38" t="s">
        <v>73</v>
      </c>
      <c r="B30" s="48" t="s">
        <v>74</v>
      </c>
      <c r="C30" s="30"/>
      <c r="D30" s="38" t="s">
        <v>12</v>
      </c>
      <c r="E30" s="53">
        <v>0</v>
      </c>
      <c r="F30" s="38">
        <v>0</v>
      </c>
      <c r="G30" s="38">
        <v>0</v>
      </c>
      <c r="H30" s="39">
        <v>0</v>
      </c>
      <c r="I30" s="30"/>
    </row>
    <row r="31" spans="1:9" ht="47" customHeight="1" thickBot="1" x14ac:dyDescent="0.4">
      <c r="A31" s="34" t="s">
        <v>75</v>
      </c>
      <c r="B31" s="49" t="s">
        <v>76</v>
      </c>
      <c r="C31" s="34" t="s">
        <v>15</v>
      </c>
      <c r="D31" s="34" t="s">
        <v>12</v>
      </c>
      <c r="E31" s="52">
        <v>0</v>
      </c>
      <c r="F31" s="34">
        <v>0</v>
      </c>
      <c r="G31" s="34">
        <v>0</v>
      </c>
      <c r="H31" s="35">
        <v>0</v>
      </c>
      <c r="I31" s="34" t="s">
        <v>54</v>
      </c>
    </row>
    <row r="32" spans="1:9" ht="47" customHeight="1" thickBot="1" x14ac:dyDescent="0.4">
      <c r="A32" s="38" t="s">
        <v>77</v>
      </c>
      <c r="B32" s="48" t="s">
        <v>78</v>
      </c>
      <c r="C32" s="30"/>
      <c r="D32" s="38" t="s">
        <v>12</v>
      </c>
      <c r="E32" s="53">
        <v>0</v>
      </c>
      <c r="F32" s="38">
        <v>0</v>
      </c>
      <c r="G32" s="38">
        <v>0</v>
      </c>
      <c r="H32" s="39">
        <v>0</v>
      </c>
      <c r="I32" s="30"/>
    </row>
    <row r="33" spans="1:9" ht="31.5" customHeight="1" thickBot="1" x14ac:dyDescent="0.4">
      <c r="A33" s="34" t="s">
        <v>79</v>
      </c>
      <c r="B33" s="49" t="s">
        <v>80</v>
      </c>
      <c r="C33" s="33"/>
      <c r="D33" s="34" t="s">
        <v>12</v>
      </c>
      <c r="E33" s="52">
        <v>0</v>
      </c>
      <c r="F33" s="34">
        <v>0</v>
      </c>
      <c r="G33" s="34">
        <v>0</v>
      </c>
      <c r="H33" s="35">
        <v>0</v>
      </c>
      <c r="I33" s="33"/>
    </row>
    <row r="34" spans="1:9" ht="31.5" customHeight="1" thickBot="1" x14ac:dyDescent="0.4">
      <c r="A34" s="38" t="s">
        <v>81</v>
      </c>
      <c r="B34" s="48" t="s">
        <v>82</v>
      </c>
      <c r="C34" s="30"/>
      <c r="D34" s="38" t="s">
        <v>12</v>
      </c>
      <c r="E34" s="53">
        <v>0</v>
      </c>
      <c r="F34" s="38">
        <v>0</v>
      </c>
      <c r="G34" s="38">
        <v>0</v>
      </c>
      <c r="H34" s="39">
        <v>0</v>
      </c>
      <c r="I34" s="30"/>
    </row>
    <row r="35" spans="1:9" ht="13" customHeight="1" thickBot="1" x14ac:dyDescent="0.3">
      <c r="A35" s="33"/>
      <c r="B35" s="33"/>
      <c r="C35" s="33"/>
      <c r="D35" s="33"/>
      <c r="E35" s="52">
        <v>0</v>
      </c>
      <c r="F35" s="33"/>
      <c r="G35" s="33"/>
      <c r="H35" s="33">
        <v>0</v>
      </c>
      <c r="I35" s="33"/>
    </row>
    <row r="36" spans="1:9" ht="16" customHeight="1" thickBot="1" x14ac:dyDescent="0.4">
      <c r="A36" s="64" t="s">
        <v>83</v>
      </c>
      <c r="B36" s="57"/>
      <c r="C36" s="63"/>
      <c r="D36" s="57"/>
      <c r="E36" s="53">
        <v>0</v>
      </c>
      <c r="F36" s="30"/>
      <c r="G36" s="30"/>
      <c r="H36" s="30">
        <v>0</v>
      </c>
      <c r="I36" s="30"/>
    </row>
    <row r="37" spans="1:9" ht="31.5" customHeight="1" thickBot="1" x14ac:dyDescent="0.4">
      <c r="A37" s="34" t="s">
        <v>84</v>
      </c>
      <c r="B37" s="49" t="s">
        <v>85</v>
      </c>
      <c r="C37" s="34" t="s">
        <v>23</v>
      </c>
      <c r="D37" s="34" t="s">
        <v>12</v>
      </c>
      <c r="E37" s="52">
        <v>0</v>
      </c>
      <c r="F37" s="34">
        <v>0</v>
      </c>
      <c r="G37" s="34">
        <v>0</v>
      </c>
      <c r="H37" s="35">
        <v>0</v>
      </c>
      <c r="I37" s="33"/>
    </row>
    <row r="38" spans="1:9" ht="31.5" customHeight="1" thickBot="1" x14ac:dyDescent="0.4">
      <c r="A38" s="38" t="s">
        <v>86</v>
      </c>
      <c r="B38" s="48" t="s">
        <v>87</v>
      </c>
      <c r="C38" s="30"/>
      <c r="D38" s="38" t="s">
        <v>12</v>
      </c>
      <c r="E38" s="53">
        <v>0</v>
      </c>
      <c r="F38" s="38">
        <v>0</v>
      </c>
      <c r="G38" s="38">
        <v>0</v>
      </c>
      <c r="H38" s="39">
        <v>0</v>
      </c>
      <c r="I38" s="30"/>
    </row>
    <row r="39" spans="1:9" ht="31.5" customHeight="1" thickBot="1" x14ac:dyDescent="0.4">
      <c r="A39" s="34" t="s">
        <v>88</v>
      </c>
      <c r="B39" s="49" t="s">
        <v>89</v>
      </c>
      <c r="C39" s="34" t="s">
        <v>23</v>
      </c>
      <c r="D39" s="34" t="s">
        <v>12</v>
      </c>
      <c r="E39" s="52">
        <v>0</v>
      </c>
      <c r="F39" s="34">
        <v>0</v>
      </c>
      <c r="G39" s="34">
        <v>0</v>
      </c>
      <c r="H39" s="35">
        <v>0</v>
      </c>
      <c r="I39" s="33"/>
    </row>
    <row r="40" spans="1:9" ht="31.5" customHeight="1" thickBot="1" x14ac:dyDescent="0.4">
      <c r="A40" s="38" t="s">
        <v>90</v>
      </c>
      <c r="B40" s="48" t="s">
        <v>91</v>
      </c>
      <c r="C40" s="38" t="s">
        <v>15</v>
      </c>
      <c r="D40" s="38" t="s">
        <v>12</v>
      </c>
      <c r="E40" s="39">
        <v>7</v>
      </c>
      <c r="F40" s="38">
        <v>0</v>
      </c>
      <c r="G40" s="38">
        <v>0</v>
      </c>
      <c r="H40" s="39">
        <v>7</v>
      </c>
      <c r="I40" s="38" t="s">
        <v>92</v>
      </c>
    </row>
    <row r="41" spans="1:9" ht="31.5" customHeight="1" thickBot="1" x14ac:dyDescent="0.4">
      <c r="A41" s="34" t="s">
        <v>93</v>
      </c>
      <c r="B41" s="49" t="s">
        <v>94</v>
      </c>
      <c r="C41" s="34" t="s">
        <v>15</v>
      </c>
      <c r="D41" s="34" t="s">
        <v>12</v>
      </c>
      <c r="E41" s="52">
        <v>0</v>
      </c>
      <c r="F41" s="34">
        <v>0</v>
      </c>
      <c r="G41" s="34">
        <v>0</v>
      </c>
      <c r="H41" s="35">
        <v>0</v>
      </c>
      <c r="I41" s="33"/>
    </row>
    <row r="42" spans="1:9" ht="31.5" customHeight="1" thickBot="1" x14ac:dyDescent="0.4">
      <c r="A42" s="38" t="s">
        <v>95</v>
      </c>
      <c r="B42" s="48" t="s">
        <v>96</v>
      </c>
      <c r="C42" s="30"/>
      <c r="D42" s="38" t="s">
        <v>12</v>
      </c>
      <c r="E42" s="53">
        <v>0</v>
      </c>
      <c r="F42" s="38">
        <v>0</v>
      </c>
      <c r="G42" s="38">
        <v>0</v>
      </c>
      <c r="H42" s="39">
        <v>0</v>
      </c>
      <c r="I42" s="30"/>
    </row>
    <row r="43" spans="1:9" ht="31.5" customHeight="1" thickBot="1" x14ac:dyDescent="0.4">
      <c r="A43" s="34" t="s">
        <v>73</v>
      </c>
      <c r="B43" s="49" t="s">
        <v>97</v>
      </c>
      <c r="C43" s="33"/>
      <c r="D43" s="34" t="s">
        <v>12</v>
      </c>
      <c r="E43" s="52">
        <v>0</v>
      </c>
      <c r="F43" s="34">
        <v>0</v>
      </c>
      <c r="G43" s="34">
        <v>0</v>
      </c>
      <c r="H43" s="35">
        <v>0</v>
      </c>
      <c r="I43" s="33"/>
    </row>
    <row r="44" spans="1:9" ht="31.5" customHeight="1" thickBot="1" x14ac:dyDescent="0.4">
      <c r="A44" s="38" t="s">
        <v>98</v>
      </c>
      <c r="B44" s="48" t="s">
        <v>99</v>
      </c>
      <c r="C44" s="38" t="s">
        <v>23</v>
      </c>
      <c r="D44" s="38" t="s">
        <v>12</v>
      </c>
      <c r="E44" s="53">
        <v>0</v>
      </c>
      <c r="F44" s="38">
        <v>0</v>
      </c>
      <c r="G44" s="38">
        <v>0</v>
      </c>
      <c r="H44" s="39">
        <v>0</v>
      </c>
      <c r="I44" s="30"/>
    </row>
    <row r="45" spans="1:9" ht="31.5" customHeight="1" thickBot="1" x14ac:dyDescent="0.4">
      <c r="A45" s="34" t="s">
        <v>100</v>
      </c>
      <c r="B45" s="49" t="s">
        <v>101</v>
      </c>
      <c r="C45" s="34" t="s">
        <v>15</v>
      </c>
      <c r="D45" s="34" t="s">
        <v>12</v>
      </c>
      <c r="E45" s="35">
        <v>9</v>
      </c>
      <c r="F45" s="34">
        <v>0</v>
      </c>
      <c r="G45" s="34">
        <v>0</v>
      </c>
      <c r="H45" s="35">
        <v>9</v>
      </c>
      <c r="I45" s="34" t="s">
        <v>102</v>
      </c>
    </row>
    <row r="46" spans="1:9" ht="31.5" customHeight="1" thickBot="1" x14ac:dyDescent="0.4">
      <c r="A46" s="38" t="s">
        <v>103</v>
      </c>
      <c r="B46" s="48" t="s">
        <v>104</v>
      </c>
      <c r="C46" s="30"/>
      <c r="D46" s="38" t="s">
        <v>12</v>
      </c>
      <c r="E46" s="53">
        <v>0</v>
      </c>
      <c r="F46" s="38">
        <v>0</v>
      </c>
      <c r="G46" s="38">
        <v>0</v>
      </c>
      <c r="H46" s="39">
        <v>0</v>
      </c>
      <c r="I46" s="30"/>
    </row>
    <row r="47" spans="1:9" ht="31.5" customHeight="1" thickBot="1" x14ac:dyDescent="0.4">
      <c r="A47" s="34" t="s">
        <v>105</v>
      </c>
      <c r="B47" s="49" t="s">
        <v>106</v>
      </c>
      <c r="C47" s="33"/>
      <c r="D47" s="34" t="s">
        <v>12</v>
      </c>
      <c r="E47" s="52">
        <v>0</v>
      </c>
      <c r="F47" s="34">
        <v>0</v>
      </c>
      <c r="G47" s="34">
        <v>0</v>
      </c>
      <c r="H47" s="35">
        <v>0</v>
      </c>
      <c r="I47" s="33"/>
    </row>
    <row r="48" spans="1:9" ht="31.5" customHeight="1" thickBot="1" x14ac:dyDescent="0.4">
      <c r="A48" s="38" t="s">
        <v>107</v>
      </c>
      <c r="B48" s="48" t="s">
        <v>108</v>
      </c>
      <c r="C48" s="30"/>
      <c r="D48" s="38" t="s">
        <v>12</v>
      </c>
      <c r="E48" s="53">
        <v>0</v>
      </c>
      <c r="F48" s="38">
        <v>0</v>
      </c>
      <c r="G48" s="38">
        <v>0</v>
      </c>
      <c r="H48" s="39">
        <v>0</v>
      </c>
      <c r="I48" s="30"/>
    </row>
    <row r="49" spans="1:9" ht="31.5" customHeight="1" thickBot="1" x14ac:dyDescent="0.4">
      <c r="A49" s="34" t="s">
        <v>109</v>
      </c>
      <c r="B49" s="49" t="s">
        <v>110</v>
      </c>
      <c r="C49" s="33"/>
      <c r="D49" s="34" t="s">
        <v>12</v>
      </c>
      <c r="E49" s="52">
        <v>0</v>
      </c>
      <c r="F49" s="34">
        <v>0</v>
      </c>
      <c r="G49" s="34">
        <v>0</v>
      </c>
      <c r="H49" s="35">
        <v>0</v>
      </c>
      <c r="I49" s="33"/>
    </row>
    <row r="50" spans="1:9" ht="31.5" customHeight="1" thickBot="1" x14ac:dyDescent="0.4">
      <c r="A50" s="38" t="s">
        <v>111</v>
      </c>
      <c r="B50" s="48" t="s">
        <v>112</v>
      </c>
      <c r="C50" s="30"/>
      <c r="D50" s="38" t="s">
        <v>12</v>
      </c>
      <c r="E50" s="53">
        <v>0</v>
      </c>
      <c r="F50" s="38">
        <v>0</v>
      </c>
      <c r="G50" s="38">
        <v>0</v>
      </c>
      <c r="H50" s="39">
        <v>0</v>
      </c>
      <c r="I50" s="30"/>
    </row>
    <row r="51" spans="1:9" ht="31.5" customHeight="1" thickBot="1" x14ac:dyDescent="0.4">
      <c r="A51" s="34" t="s">
        <v>113</v>
      </c>
      <c r="B51" s="49" t="s">
        <v>114</v>
      </c>
      <c r="C51" s="33"/>
      <c r="D51" s="34" t="s">
        <v>12</v>
      </c>
      <c r="E51" s="52">
        <v>0</v>
      </c>
      <c r="F51" s="34">
        <v>0</v>
      </c>
      <c r="G51" s="34">
        <v>0</v>
      </c>
      <c r="H51" s="35">
        <v>0</v>
      </c>
      <c r="I51" s="33"/>
    </row>
    <row r="52" spans="1:9" ht="13" customHeight="1" thickBot="1" x14ac:dyDescent="0.3">
      <c r="A52" s="30"/>
      <c r="B52" s="50"/>
      <c r="C52" s="30"/>
      <c r="D52" s="30"/>
      <c r="E52" s="53">
        <v>0</v>
      </c>
      <c r="F52" s="30"/>
      <c r="G52" s="30"/>
      <c r="H52" s="30">
        <v>0</v>
      </c>
      <c r="I52" s="30"/>
    </row>
    <row r="53" spans="1:9" ht="13" customHeight="1" thickBot="1" x14ac:dyDescent="0.3">
      <c r="A53" s="33"/>
      <c r="B53" s="51"/>
      <c r="C53" s="33"/>
      <c r="D53" s="33"/>
      <c r="E53" s="52">
        <v>0</v>
      </c>
      <c r="F53" s="33"/>
      <c r="G53" s="33"/>
      <c r="H53" s="33">
        <v>0</v>
      </c>
      <c r="I53" s="33"/>
    </row>
    <row r="54" spans="1:9" ht="16" customHeight="1" thickBot="1" x14ac:dyDescent="0.4">
      <c r="A54" s="58" t="s">
        <v>115</v>
      </c>
      <c r="B54" s="59"/>
      <c r="C54" s="30"/>
      <c r="D54" s="30"/>
      <c r="E54" s="53">
        <v>0</v>
      </c>
      <c r="F54" s="30"/>
      <c r="G54" s="30"/>
      <c r="H54" s="30">
        <v>0</v>
      </c>
      <c r="I54" s="30"/>
    </row>
    <row r="55" spans="1:9" ht="31.5" customHeight="1" thickBot="1" x14ac:dyDescent="0.4">
      <c r="A55" s="34" t="s">
        <v>116</v>
      </c>
      <c r="B55" s="49" t="s">
        <v>117</v>
      </c>
      <c r="C55" s="33"/>
      <c r="D55" s="34" t="s">
        <v>12</v>
      </c>
      <c r="E55" s="52">
        <v>0</v>
      </c>
      <c r="F55" s="34">
        <v>0</v>
      </c>
      <c r="G55" s="34">
        <v>0</v>
      </c>
      <c r="H55" s="35">
        <v>0</v>
      </c>
      <c r="I55" s="33"/>
    </row>
    <row r="56" spans="1:9" ht="31.5" customHeight="1" thickBot="1" x14ac:dyDescent="0.4">
      <c r="A56" s="38" t="s">
        <v>118</v>
      </c>
      <c r="B56" s="48" t="s">
        <v>119</v>
      </c>
      <c r="C56" s="30"/>
      <c r="D56" s="38" t="s">
        <v>12</v>
      </c>
      <c r="E56" s="53">
        <v>0</v>
      </c>
      <c r="F56" s="38">
        <v>0</v>
      </c>
      <c r="G56" s="38">
        <v>0</v>
      </c>
      <c r="H56" s="39">
        <v>0</v>
      </c>
      <c r="I56" s="30"/>
    </row>
    <row r="57" spans="1:9" ht="31.5" customHeight="1" thickBot="1" x14ac:dyDescent="0.4">
      <c r="A57" s="34" t="s">
        <v>19</v>
      </c>
      <c r="B57" s="49" t="s">
        <v>120</v>
      </c>
      <c r="C57" s="33"/>
      <c r="D57" s="34" t="s">
        <v>12</v>
      </c>
      <c r="E57" s="35">
        <v>12</v>
      </c>
      <c r="F57" s="34">
        <v>0</v>
      </c>
      <c r="G57" s="34">
        <v>0</v>
      </c>
      <c r="H57" s="35">
        <v>12</v>
      </c>
      <c r="I57" s="34" t="s">
        <v>121</v>
      </c>
    </row>
    <row r="58" spans="1:9" ht="31.5" customHeight="1" thickBot="1" x14ac:dyDescent="0.4">
      <c r="A58" s="38" t="s">
        <v>122</v>
      </c>
      <c r="B58" s="48" t="s">
        <v>123</v>
      </c>
      <c r="C58" s="30"/>
      <c r="D58" s="38" t="s">
        <v>12</v>
      </c>
      <c r="E58" s="53">
        <v>0</v>
      </c>
      <c r="F58" s="38">
        <v>0</v>
      </c>
      <c r="G58" s="38">
        <v>0</v>
      </c>
      <c r="H58" s="39">
        <v>0</v>
      </c>
      <c r="I58" s="30"/>
    </row>
    <row r="59" spans="1:9" ht="31.5" customHeight="1" thickBot="1" x14ac:dyDescent="0.4">
      <c r="A59" s="34" t="s">
        <v>124</v>
      </c>
      <c r="B59" s="49" t="s">
        <v>125</v>
      </c>
      <c r="C59" s="33"/>
      <c r="D59" s="34" t="s">
        <v>12</v>
      </c>
      <c r="E59" s="52">
        <v>0</v>
      </c>
      <c r="F59" s="34">
        <v>0</v>
      </c>
      <c r="G59" s="34">
        <v>0</v>
      </c>
      <c r="H59" s="35">
        <v>0</v>
      </c>
      <c r="I59" s="33"/>
    </row>
    <row r="60" spans="1:9" ht="62.5" customHeight="1" thickBot="1" x14ac:dyDescent="0.4">
      <c r="A60" s="38" t="s">
        <v>126</v>
      </c>
      <c r="B60" s="48" t="s">
        <v>127</v>
      </c>
      <c r="C60" s="30"/>
      <c r="D60" s="38" t="s">
        <v>12</v>
      </c>
      <c r="E60" s="53">
        <v>0</v>
      </c>
      <c r="F60" s="38">
        <v>0</v>
      </c>
      <c r="G60" s="38">
        <v>0</v>
      </c>
      <c r="H60" s="39">
        <v>0</v>
      </c>
      <c r="I60" s="30"/>
    </row>
    <row r="61" spans="1:9" ht="31.5" customHeight="1" thickBot="1" x14ac:dyDescent="0.4">
      <c r="A61" s="34" t="s">
        <v>128</v>
      </c>
      <c r="B61" s="49" t="s">
        <v>129</v>
      </c>
      <c r="C61" s="33"/>
      <c r="D61" s="34" t="s">
        <v>12</v>
      </c>
      <c r="E61" s="52">
        <v>0</v>
      </c>
      <c r="F61" s="34">
        <v>0</v>
      </c>
      <c r="G61" s="34">
        <v>0</v>
      </c>
      <c r="H61" s="35">
        <v>0</v>
      </c>
      <c r="I61" s="33"/>
    </row>
    <row r="62" spans="1:9" ht="31.5" customHeight="1" thickBot="1" x14ac:dyDescent="0.4">
      <c r="A62" s="38" t="s">
        <v>130</v>
      </c>
      <c r="B62" s="48" t="s">
        <v>131</v>
      </c>
      <c r="C62" s="30"/>
      <c r="D62" s="38" t="s">
        <v>12</v>
      </c>
      <c r="E62" s="53">
        <v>0</v>
      </c>
      <c r="F62" s="38">
        <v>0</v>
      </c>
      <c r="G62" s="38">
        <v>0</v>
      </c>
      <c r="H62" s="39">
        <v>0</v>
      </c>
      <c r="I62" s="30"/>
    </row>
    <row r="63" spans="1:9" ht="31.5" customHeight="1" thickBot="1" x14ac:dyDescent="0.4">
      <c r="A63" s="34" t="s">
        <v>26</v>
      </c>
      <c r="B63" s="49" t="s">
        <v>132</v>
      </c>
      <c r="C63" s="33"/>
      <c r="D63" s="34" t="s">
        <v>12</v>
      </c>
      <c r="E63" s="52">
        <v>0</v>
      </c>
      <c r="F63" s="34">
        <v>0</v>
      </c>
      <c r="G63" s="34">
        <v>0</v>
      </c>
      <c r="H63" s="35">
        <v>0</v>
      </c>
      <c r="I63" s="33"/>
    </row>
    <row r="64" spans="1:9" ht="31.5" customHeight="1" thickBot="1" x14ac:dyDescent="0.4">
      <c r="A64" s="38" t="s">
        <v>84</v>
      </c>
      <c r="B64" s="48" t="s">
        <v>133</v>
      </c>
      <c r="C64" s="30"/>
      <c r="D64" s="38" t="s">
        <v>12</v>
      </c>
      <c r="E64" s="53">
        <v>0</v>
      </c>
      <c r="F64" s="38">
        <v>0</v>
      </c>
      <c r="G64" s="38">
        <v>0</v>
      </c>
      <c r="H64" s="39">
        <v>0</v>
      </c>
      <c r="I64" s="30"/>
    </row>
    <row r="65" spans="1:9" ht="31.5" customHeight="1" thickBot="1" x14ac:dyDescent="0.4">
      <c r="A65" s="34" t="s">
        <v>134</v>
      </c>
      <c r="B65" s="49" t="s">
        <v>135</v>
      </c>
      <c r="C65" s="33"/>
      <c r="D65" s="34" t="s">
        <v>12</v>
      </c>
      <c r="E65" s="52">
        <v>0</v>
      </c>
      <c r="F65" s="34">
        <v>0</v>
      </c>
      <c r="G65" s="34">
        <v>0</v>
      </c>
      <c r="H65" s="35">
        <v>0</v>
      </c>
      <c r="I65" s="33"/>
    </row>
    <row r="66" spans="1:9" ht="31.5" customHeight="1" thickBot="1" x14ac:dyDescent="0.4">
      <c r="A66" s="38" t="s">
        <v>136</v>
      </c>
      <c r="B66" s="48" t="s">
        <v>137</v>
      </c>
      <c r="C66" s="30"/>
      <c r="D66" s="38" t="s">
        <v>50</v>
      </c>
      <c r="E66" s="53">
        <v>0</v>
      </c>
      <c r="F66" s="38">
        <v>0</v>
      </c>
      <c r="G66" s="38">
        <v>0</v>
      </c>
      <c r="H66" s="39">
        <v>0</v>
      </c>
      <c r="I66" s="30"/>
    </row>
    <row r="67" spans="1:9" ht="31.5" customHeight="1" thickBot="1" x14ac:dyDescent="0.4">
      <c r="A67" s="34" t="s">
        <v>138</v>
      </c>
      <c r="B67" s="49" t="s">
        <v>139</v>
      </c>
      <c r="C67" s="33"/>
      <c r="D67" s="34" t="s">
        <v>12</v>
      </c>
      <c r="E67" s="52">
        <v>0</v>
      </c>
      <c r="F67" s="34">
        <v>0</v>
      </c>
      <c r="G67" s="34">
        <v>0</v>
      </c>
      <c r="H67" s="35">
        <v>0</v>
      </c>
      <c r="I67" s="33"/>
    </row>
    <row r="68" spans="1:9" ht="31.5" customHeight="1" thickBot="1" x14ac:dyDescent="0.4">
      <c r="A68" s="38" t="s">
        <v>140</v>
      </c>
      <c r="B68" s="48" t="s">
        <v>141</v>
      </c>
      <c r="C68" s="30"/>
      <c r="D68" s="38" t="s">
        <v>12</v>
      </c>
      <c r="E68" s="53">
        <v>0</v>
      </c>
      <c r="F68" s="38">
        <v>0</v>
      </c>
      <c r="G68" s="38">
        <v>0</v>
      </c>
      <c r="H68" s="39">
        <v>0</v>
      </c>
      <c r="I68" s="30"/>
    </row>
    <row r="69" spans="1:9" ht="31.5" customHeight="1" thickBot="1" x14ac:dyDescent="0.4">
      <c r="A69" s="34" t="s">
        <v>142</v>
      </c>
      <c r="B69" s="49" t="s">
        <v>143</v>
      </c>
      <c r="C69" s="33"/>
      <c r="D69" s="34" t="s">
        <v>12</v>
      </c>
      <c r="E69" s="52">
        <v>0</v>
      </c>
      <c r="F69" s="34">
        <v>0</v>
      </c>
      <c r="G69" s="34">
        <v>0</v>
      </c>
      <c r="H69" s="35">
        <v>0</v>
      </c>
      <c r="I69" s="33"/>
    </row>
    <row r="70" spans="1:9" ht="31.5" customHeight="1" thickBot="1" x14ac:dyDescent="0.4">
      <c r="A70" s="38" t="s">
        <v>144</v>
      </c>
      <c r="B70" s="48" t="s">
        <v>145</v>
      </c>
      <c r="C70" s="30"/>
      <c r="D70" s="38" t="s">
        <v>12</v>
      </c>
      <c r="E70" s="53">
        <v>0</v>
      </c>
      <c r="F70" s="38">
        <v>0</v>
      </c>
      <c r="G70" s="38">
        <v>0</v>
      </c>
      <c r="H70" s="39">
        <v>0</v>
      </c>
      <c r="I70" s="30"/>
    </row>
    <row r="71" spans="1:9" ht="13" customHeight="1" thickBot="1" x14ac:dyDescent="0.3">
      <c r="A71" s="33"/>
      <c r="B71" s="51"/>
      <c r="C71" s="33"/>
      <c r="D71" s="33"/>
      <c r="E71" s="52">
        <v>0</v>
      </c>
      <c r="F71" s="33"/>
      <c r="G71" s="33"/>
      <c r="H71" s="33">
        <v>0</v>
      </c>
      <c r="I71" s="33"/>
    </row>
    <row r="72" spans="1:9" ht="13" customHeight="1" thickBot="1" x14ac:dyDescent="0.3">
      <c r="A72" s="30"/>
      <c r="B72" s="50"/>
      <c r="C72" s="30"/>
      <c r="D72" s="30"/>
      <c r="E72" s="53">
        <v>0</v>
      </c>
      <c r="F72" s="30"/>
      <c r="G72" s="30"/>
      <c r="H72" s="30">
        <v>0</v>
      </c>
      <c r="I72" s="30"/>
    </row>
    <row r="73" spans="1:9" ht="13" customHeight="1" thickBot="1" x14ac:dyDescent="0.3">
      <c r="A73" s="33"/>
      <c r="B73" s="51"/>
      <c r="C73" s="33"/>
      <c r="D73" s="33"/>
      <c r="E73" s="52">
        <v>0</v>
      </c>
      <c r="F73" s="33"/>
      <c r="G73" s="33"/>
      <c r="H73" s="33">
        <v>0</v>
      </c>
      <c r="I73" s="33"/>
    </row>
    <row r="74" spans="1:9" ht="13" customHeight="1" thickBot="1" x14ac:dyDescent="0.3">
      <c r="A74" s="30"/>
      <c r="B74" s="50"/>
      <c r="C74" s="30"/>
      <c r="D74" s="30"/>
      <c r="E74" s="53">
        <v>0</v>
      </c>
      <c r="F74" s="30"/>
      <c r="G74" s="30"/>
      <c r="H74" s="30">
        <v>0</v>
      </c>
      <c r="I74" s="30"/>
    </row>
    <row r="75" spans="1:9" ht="16" customHeight="1" thickBot="1" x14ac:dyDescent="0.4">
      <c r="A75" s="62" t="s">
        <v>146</v>
      </c>
      <c r="B75" s="59"/>
      <c r="C75" s="33"/>
      <c r="D75" s="33"/>
      <c r="E75" s="52">
        <v>0</v>
      </c>
      <c r="F75" s="33"/>
      <c r="G75" s="33"/>
      <c r="H75" s="33">
        <v>0</v>
      </c>
      <c r="I75" s="33"/>
    </row>
    <row r="76" spans="1:9" ht="31.5" customHeight="1" thickBot="1" x14ac:dyDescent="0.4">
      <c r="A76" s="38" t="s">
        <v>147</v>
      </c>
      <c r="B76" s="48" t="s">
        <v>148</v>
      </c>
      <c r="C76" s="38" t="s">
        <v>15</v>
      </c>
      <c r="D76" s="38" t="s">
        <v>16</v>
      </c>
      <c r="E76" s="53">
        <v>0</v>
      </c>
      <c r="F76" s="38">
        <v>0</v>
      </c>
      <c r="G76" s="38">
        <v>0</v>
      </c>
      <c r="H76" s="39">
        <v>0</v>
      </c>
      <c r="I76" s="30"/>
    </row>
    <row r="77" spans="1:9" ht="31.5" customHeight="1" thickBot="1" x14ac:dyDescent="0.4">
      <c r="A77" s="34" t="s">
        <v>149</v>
      </c>
      <c r="B77" s="49" t="s">
        <v>150</v>
      </c>
      <c r="C77" s="34" t="s">
        <v>15</v>
      </c>
      <c r="D77" s="34" t="s">
        <v>12</v>
      </c>
      <c r="E77" s="52">
        <v>0</v>
      </c>
      <c r="F77" s="34">
        <v>0</v>
      </c>
      <c r="G77" s="34">
        <v>0</v>
      </c>
      <c r="H77" s="35">
        <v>0</v>
      </c>
      <c r="I77" s="33"/>
    </row>
    <row r="78" spans="1:9" ht="47" customHeight="1" thickBot="1" x14ac:dyDescent="0.4">
      <c r="A78" s="38" t="s">
        <v>24</v>
      </c>
      <c r="B78" s="48" t="s">
        <v>151</v>
      </c>
      <c r="C78" s="38" t="s">
        <v>15</v>
      </c>
      <c r="D78" s="38" t="s">
        <v>28</v>
      </c>
      <c r="E78" s="53">
        <v>0</v>
      </c>
      <c r="F78" s="38">
        <v>0</v>
      </c>
      <c r="G78" s="38">
        <v>0</v>
      </c>
      <c r="H78" s="39">
        <v>0</v>
      </c>
      <c r="I78" s="38" t="s">
        <v>152</v>
      </c>
    </row>
    <row r="79" spans="1:9" ht="47" customHeight="1" thickBot="1" x14ac:dyDescent="0.4">
      <c r="A79" s="34" t="s">
        <v>153</v>
      </c>
      <c r="B79" s="49" t="s">
        <v>30</v>
      </c>
      <c r="C79" s="34" t="s">
        <v>15</v>
      </c>
      <c r="D79" s="34" t="s">
        <v>28</v>
      </c>
      <c r="E79" s="52">
        <v>0</v>
      </c>
      <c r="F79" s="34">
        <v>0</v>
      </c>
      <c r="G79" s="34">
        <v>0</v>
      </c>
      <c r="H79" s="35">
        <v>0</v>
      </c>
      <c r="I79" s="34" t="s">
        <v>152</v>
      </c>
    </row>
    <row r="80" spans="1:9" ht="93.5" customHeight="1" thickBot="1" x14ac:dyDescent="0.4">
      <c r="A80" s="38" t="s">
        <v>154</v>
      </c>
      <c r="B80" s="48" t="s">
        <v>155</v>
      </c>
      <c r="C80" s="38" t="s">
        <v>15</v>
      </c>
      <c r="D80" s="38" t="s">
        <v>12</v>
      </c>
      <c r="E80" s="39">
        <v>13</v>
      </c>
      <c r="F80" s="38">
        <v>0</v>
      </c>
      <c r="G80" s="38">
        <v>0</v>
      </c>
      <c r="H80" s="39">
        <v>13</v>
      </c>
      <c r="I80" s="38" t="s">
        <v>156</v>
      </c>
    </row>
    <row r="81" spans="1:9" ht="31.5" customHeight="1" thickBot="1" x14ac:dyDescent="0.4">
      <c r="A81" s="34" t="s">
        <v>157</v>
      </c>
      <c r="B81" s="49" t="s">
        <v>158</v>
      </c>
      <c r="C81" s="33"/>
      <c r="D81" s="34" t="s">
        <v>12</v>
      </c>
      <c r="E81" s="35">
        <v>0</v>
      </c>
      <c r="F81" s="34">
        <v>0</v>
      </c>
      <c r="G81" s="34">
        <v>0</v>
      </c>
      <c r="H81" s="35">
        <v>0</v>
      </c>
      <c r="I81" s="33"/>
    </row>
    <row r="82" spans="1:9" ht="31.5" customHeight="1" thickBot="1" x14ac:dyDescent="0.4">
      <c r="A82" s="38" t="s">
        <v>159</v>
      </c>
      <c r="B82" s="48" t="s">
        <v>160</v>
      </c>
      <c r="C82" s="38" t="s">
        <v>15</v>
      </c>
      <c r="D82" s="38" t="s">
        <v>12</v>
      </c>
      <c r="E82" s="39">
        <v>12</v>
      </c>
      <c r="F82" s="38">
        <v>0</v>
      </c>
      <c r="G82" s="38">
        <v>0</v>
      </c>
      <c r="H82" s="39">
        <v>12</v>
      </c>
      <c r="I82" s="38" t="s">
        <v>46</v>
      </c>
    </row>
    <row r="83" spans="1:9" ht="31.5" customHeight="1" thickBot="1" x14ac:dyDescent="0.4">
      <c r="A83" s="34" t="s">
        <v>161</v>
      </c>
      <c r="B83" s="49" t="s">
        <v>162</v>
      </c>
      <c r="C83" s="33"/>
      <c r="D83" s="34" t="s">
        <v>12</v>
      </c>
      <c r="E83" s="52">
        <v>0</v>
      </c>
      <c r="F83" s="34">
        <v>0</v>
      </c>
      <c r="G83" s="34">
        <v>0</v>
      </c>
      <c r="H83" s="35">
        <v>0</v>
      </c>
      <c r="I83" s="33"/>
    </row>
    <row r="84" spans="1:9" ht="31.5" customHeight="1" thickBot="1" x14ac:dyDescent="0.4">
      <c r="A84" s="38" t="s">
        <v>154</v>
      </c>
      <c r="B84" s="48" t="s">
        <v>163</v>
      </c>
      <c r="C84" s="30"/>
      <c r="D84" s="38" t="s">
        <v>12</v>
      </c>
      <c r="E84" s="53">
        <v>0</v>
      </c>
      <c r="F84" s="38">
        <v>0</v>
      </c>
      <c r="G84" s="38">
        <v>0</v>
      </c>
      <c r="H84" s="39">
        <v>0</v>
      </c>
      <c r="I84" s="30"/>
    </row>
    <row r="85" spans="1:9" ht="31.5" customHeight="1" thickBot="1" x14ac:dyDescent="0.4">
      <c r="A85" s="34" t="s">
        <v>164</v>
      </c>
      <c r="B85" s="49" t="s">
        <v>165</v>
      </c>
      <c r="C85" s="33"/>
      <c r="D85" s="34" t="s">
        <v>12</v>
      </c>
      <c r="E85" s="52">
        <v>0</v>
      </c>
      <c r="F85" s="34">
        <v>0</v>
      </c>
      <c r="G85" s="34">
        <v>0</v>
      </c>
      <c r="H85" s="35">
        <v>0</v>
      </c>
      <c r="I85" s="33"/>
    </row>
    <row r="86" spans="1:9" ht="47" customHeight="1" thickBot="1" x14ac:dyDescent="0.4">
      <c r="A86" s="38" t="s">
        <v>57</v>
      </c>
      <c r="B86" s="48" t="s">
        <v>166</v>
      </c>
      <c r="C86" s="30"/>
      <c r="D86" s="38" t="s">
        <v>12</v>
      </c>
      <c r="E86" s="53">
        <v>0</v>
      </c>
      <c r="F86" s="38">
        <v>0</v>
      </c>
      <c r="G86" s="38">
        <v>0</v>
      </c>
      <c r="H86" s="39">
        <v>0</v>
      </c>
      <c r="I86" s="30"/>
    </row>
    <row r="87" spans="1:9" ht="31.5" customHeight="1" thickBot="1" x14ac:dyDescent="0.4">
      <c r="A87" s="34" t="s">
        <v>26</v>
      </c>
      <c r="B87" s="48" t="s">
        <v>167</v>
      </c>
      <c r="C87" s="33"/>
      <c r="D87" s="34" t="s">
        <v>12</v>
      </c>
      <c r="E87" s="52">
        <v>0</v>
      </c>
      <c r="F87" s="34">
        <v>0</v>
      </c>
      <c r="G87" s="34">
        <v>0</v>
      </c>
      <c r="H87" s="35">
        <v>0</v>
      </c>
      <c r="I87" s="33"/>
    </row>
    <row r="88" spans="1:9" ht="31.5" customHeight="1" thickBot="1" x14ac:dyDescent="0.4">
      <c r="A88" s="38" t="s">
        <v>168</v>
      </c>
      <c r="B88" s="48" t="s">
        <v>169</v>
      </c>
      <c r="C88" s="30"/>
      <c r="D88" s="38" t="s">
        <v>12</v>
      </c>
      <c r="E88" s="39">
        <v>6</v>
      </c>
      <c r="F88" s="38">
        <v>0</v>
      </c>
      <c r="G88" s="38">
        <v>0</v>
      </c>
      <c r="H88" s="39">
        <v>6</v>
      </c>
      <c r="I88" s="38" t="s">
        <v>170</v>
      </c>
    </row>
    <row r="89" spans="1:9" ht="13" customHeight="1" thickBot="1" x14ac:dyDescent="0.3">
      <c r="A89" s="33"/>
      <c r="B89" s="51"/>
      <c r="C89" s="33"/>
      <c r="D89" s="33"/>
      <c r="E89" s="52">
        <v>0</v>
      </c>
      <c r="F89" s="33"/>
      <c r="G89" s="33"/>
      <c r="H89" s="33">
        <v>0</v>
      </c>
      <c r="I89" s="33"/>
    </row>
    <row r="90" spans="1:9" ht="13" customHeight="1" thickBot="1" x14ac:dyDescent="0.3">
      <c r="A90" s="30"/>
      <c r="B90" s="50"/>
      <c r="C90" s="30"/>
      <c r="D90" s="30"/>
      <c r="E90" s="53">
        <v>0</v>
      </c>
      <c r="F90" s="30"/>
      <c r="G90" s="30"/>
      <c r="H90" s="30">
        <v>0</v>
      </c>
      <c r="I90" s="30"/>
    </row>
    <row r="91" spans="1:9" ht="16" customHeight="1" thickBot="1" x14ac:dyDescent="0.4">
      <c r="A91" s="62" t="s">
        <v>171</v>
      </c>
      <c r="B91" s="59"/>
      <c r="C91" s="33"/>
      <c r="D91" s="33"/>
      <c r="E91" s="52">
        <v>0</v>
      </c>
      <c r="F91" s="33"/>
      <c r="G91" s="33"/>
      <c r="H91" s="33">
        <v>0</v>
      </c>
      <c r="I91" s="33"/>
    </row>
    <row r="92" spans="1:9" ht="31.5" customHeight="1" thickBot="1" x14ac:dyDescent="0.4">
      <c r="A92" s="38" t="s">
        <v>19</v>
      </c>
      <c r="B92" s="48" t="s">
        <v>172</v>
      </c>
      <c r="C92" s="30"/>
      <c r="D92" s="38" t="s">
        <v>12</v>
      </c>
      <c r="E92" s="53">
        <v>0</v>
      </c>
      <c r="F92" s="38">
        <v>0</v>
      </c>
      <c r="G92" s="38">
        <v>0</v>
      </c>
      <c r="H92" s="39">
        <v>0</v>
      </c>
      <c r="I92" s="30"/>
    </row>
    <row r="93" spans="1:9" ht="31.5" customHeight="1" thickBot="1" x14ac:dyDescent="0.4">
      <c r="A93" s="34" t="s">
        <v>173</v>
      </c>
      <c r="B93" s="49" t="s">
        <v>174</v>
      </c>
      <c r="C93" s="33"/>
      <c r="D93" s="34" t="s">
        <v>12</v>
      </c>
      <c r="E93" s="52">
        <v>0</v>
      </c>
      <c r="F93" s="34">
        <v>0</v>
      </c>
      <c r="G93" s="34">
        <v>0</v>
      </c>
      <c r="H93" s="35">
        <v>0</v>
      </c>
      <c r="I93" s="33"/>
    </row>
    <row r="94" spans="1:9" ht="31.5" customHeight="1" thickBot="1" x14ac:dyDescent="0.4">
      <c r="A94" s="38" t="s">
        <v>175</v>
      </c>
      <c r="B94" s="48" t="s">
        <v>176</v>
      </c>
      <c r="C94" s="30"/>
      <c r="D94" s="38" t="s">
        <v>12</v>
      </c>
      <c r="E94" s="53">
        <v>0</v>
      </c>
      <c r="F94" s="38">
        <v>0</v>
      </c>
      <c r="G94" s="38">
        <v>0</v>
      </c>
      <c r="H94" s="39">
        <v>0</v>
      </c>
      <c r="I94" s="30"/>
    </row>
    <row r="95" spans="1:9" ht="31.5" customHeight="1" thickBot="1" x14ac:dyDescent="0.4">
      <c r="A95" s="34" t="s">
        <v>177</v>
      </c>
      <c r="B95" s="49" t="s">
        <v>178</v>
      </c>
      <c r="C95" s="33"/>
      <c r="D95" s="34" t="s">
        <v>12</v>
      </c>
      <c r="E95" s="52">
        <v>0</v>
      </c>
      <c r="F95" s="34">
        <v>0</v>
      </c>
      <c r="G95" s="34">
        <v>0</v>
      </c>
      <c r="H95" s="35">
        <v>0</v>
      </c>
      <c r="I95" s="33"/>
    </row>
    <row r="96" spans="1:9" ht="31.5" customHeight="1" thickBot="1" x14ac:dyDescent="0.4">
      <c r="A96" s="38" t="s">
        <v>179</v>
      </c>
      <c r="B96" s="48" t="s">
        <v>180</v>
      </c>
      <c r="C96" s="30"/>
      <c r="D96" s="38" t="s">
        <v>12</v>
      </c>
      <c r="E96" s="53">
        <v>0</v>
      </c>
      <c r="F96" s="38">
        <v>0</v>
      </c>
      <c r="G96" s="38">
        <v>0</v>
      </c>
      <c r="H96" s="39">
        <v>0</v>
      </c>
      <c r="I96" s="30"/>
    </row>
    <row r="97" spans="1:9" ht="31.5" customHeight="1" thickBot="1" x14ac:dyDescent="0.4">
      <c r="A97" s="34" t="s">
        <v>181</v>
      </c>
      <c r="B97" s="49" t="s">
        <v>182</v>
      </c>
      <c r="C97" s="33"/>
      <c r="D97" s="34" t="s">
        <v>16</v>
      </c>
      <c r="E97" s="52">
        <v>0</v>
      </c>
      <c r="F97" s="34">
        <v>0</v>
      </c>
      <c r="G97" s="34">
        <v>0</v>
      </c>
      <c r="H97" s="35">
        <v>0</v>
      </c>
      <c r="I97" s="33"/>
    </row>
    <row r="98" spans="1:9" ht="31.5" customHeight="1" thickBot="1" x14ac:dyDescent="0.4">
      <c r="A98" s="38" t="s">
        <v>183</v>
      </c>
      <c r="B98" s="48" t="s">
        <v>184</v>
      </c>
      <c r="C98" s="30"/>
      <c r="D98" s="38" t="s">
        <v>12</v>
      </c>
      <c r="E98" s="53">
        <v>0</v>
      </c>
      <c r="F98" s="38">
        <v>0</v>
      </c>
      <c r="G98" s="38">
        <v>0</v>
      </c>
      <c r="H98" s="39">
        <v>0</v>
      </c>
      <c r="I98" s="30"/>
    </row>
    <row r="99" spans="1:9" ht="47" customHeight="1" thickBot="1" x14ac:dyDescent="0.4">
      <c r="A99" s="34" t="s">
        <v>185</v>
      </c>
      <c r="B99" s="49" t="s">
        <v>186</v>
      </c>
      <c r="C99" s="33"/>
      <c r="D99" s="34" t="s">
        <v>12</v>
      </c>
      <c r="E99" s="35">
        <v>9</v>
      </c>
      <c r="F99" s="34">
        <v>0</v>
      </c>
      <c r="G99" s="34">
        <v>0</v>
      </c>
      <c r="H99" s="35">
        <v>9</v>
      </c>
      <c r="I99" s="34" t="s">
        <v>187</v>
      </c>
    </row>
    <row r="100" spans="1:9" ht="47" customHeight="1" thickBot="1" x14ac:dyDescent="0.4">
      <c r="A100" s="38" t="s">
        <v>188</v>
      </c>
      <c r="B100" s="48" t="s">
        <v>189</v>
      </c>
      <c r="C100" s="30"/>
      <c r="D100" s="38" t="s">
        <v>12</v>
      </c>
      <c r="E100" s="53">
        <v>0</v>
      </c>
      <c r="F100" s="38">
        <v>0</v>
      </c>
      <c r="G100" s="38">
        <v>0</v>
      </c>
      <c r="H100" s="39">
        <v>0</v>
      </c>
      <c r="I100" s="30"/>
    </row>
    <row r="101" spans="1:9" ht="31.5" customHeight="1" thickBot="1" x14ac:dyDescent="0.4">
      <c r="A101" s="34" t="s">
        <v>190</v>
      </c>
      <c r="B101" s="49" t="s">
        <v>191</v>
      </c>
      <c r="C101" s="33"/>
      <c r="D101" s="34" t="s">
        <v>12</v>
      </c>
      <c r="E101" s="52">
        <v>0</v>
      </c>
      <c r="F101" s="34">
        <v>0</v>
      </c>
      <c r="G101" s="34">
        <v>0</v>
      </c>
      <c r="H101" s="35">
        <v>0</v>
      </c>
      <c r="I101" s="33"/>
    </row>
    <row r="102" spans="1:9" ht="31.5" customHeight="1" thickBot="1" x14ac:dyDescent="0.4">
      <c r="A102" s="38" t="s">
        <v>192</v>
      </c>
      <c r="B102" s="48" t="s">
        <v>193</v>
      </c>
      <c r="C102" s="30"/>
      <c r="D102" s="38" t="s">
        <v>12</v>
      </c>
      <c r="E102" s="53">
        <v>0</v>
      </c>
      <c r="F102" s="38">
        <v>0</v>
      </c>
      <c r="G102" s="38">
        <v>0</v>
      </c>
      <c r="H102" s="39">
        <v>0</v>
      </c>
      <c r="I102" s="30"/>
    </row>
    <row r="103" spans="1:9" ht="31.5" customHeight="1" thickBot="1" x14ac:dyDescent="0.4">
      <c r="A103" s="34" t="s">
        <v>194</v>
      </c>
      <c r="B103" s="49" t="s">
        <v>195</v>
      </c>
      <c r="C103" s="33"/>
      <c r="D103" s="34" t="s">
        <v>12</v>
      </c>
      <c r="E103" s="52">
        <v>0</v>
      </c>
      <c r="F103" s="34">
        <v>0</v>
      </c>
      <c r="G103" s="34">
        <v>0</v>
      </c>
      <c r="H103" s="35">
        <v>0</v>
      </c>
      <c r="I103" s="33"/>
    </row>
    <row r="104" spans="1:9" ht="31.5" customHeight="1" thickBot="1" x14ac:dyDescent="0.4">
      <c r="A104" s="38" t="s">
        <v>196</v>
      </c>
      <c r="B104" s="48" t="s">
        <v>197</v>
      </c>
      <c r="C104" s="30"/>
      <c r="D104" s="38" t="s">
        <v>12</v>
      </c>
      <c r="E104" s="53">
        <v>0</v>
      </c>
      <c r="F104" s="38">
        <v>0</v>
      </c>
      <c r="G104" s="38">
        <v>0</v>
      </c>
      <c r="H104" s="39">
        <v>0</v>
      </c>
      <c r="I104" s="30"/>
    </row>
    <row r="105" spans="1:9" ht="31.5" customHeight="1" thickBot="1" x14ac:dyDescent="0.4">
      <c r="A105" s="34" t="s">
        <v>194</v>
      </c>
      <c r="B105" s="49" t="s">
        <v>195</v>
      </c>
      <c r="C105" s="33"/>
      <c r="D105" s="34" t="s">
        <v>12</v>
      </c>
      <c r="E105" s="52">
        <v>0</v>
      </c>
      <c r="F105" s="34">
        <v>0</v>
      </c>
      <c r="G105" s="34">
        <v>0</v>
      </c>
      <c r="H105" s="35">
        <v>0</v>
      </c>
      <c r="I105" s="33"/>
    </row>
    <row r="106" spans="1:9" ht="31.5" customHeight="1" thickBot="1" x14ac:dyDescent="0.4">
      <c r="A106" s="38" t="s">
        <v>198</v>
      </c>
      <c r="B106" s="48" t="s">
        <v>199</v>
      </c>
      <c r="C106" s="30"/>
      <c r="D106" s="38" t="s">
        <v>12</v>
      </c>
      <c r="E106" s="53">
        <v>0</v>
      </c>
      <c r="F106" s="38">
        <v>0</v>
      </c>
      <c r="G106" s="38">
        <v>0</v>
      </c>
      <c r="H106" s="39">
        <v>0</v>
      </c>
      <c r="I106" s="30"/>
    </row>
    <row r="107" spans="1:9" ht="13" customHeight="1" thickBot="1" x14ac:dyDescent="0.3">
      <c r="A107" s="33"/>
      <c r="B107" s="51"/>
      <c r="C107" s="33"/>
      <c r="D107" s="33"/>
      <c r="E107" s="52">
        <v>0</v>
      </c>
      <c r="F107" s="33"/>
      <c r="G107" s="33"/>
      <c r="H107" s="33">
        <v>0</v>
      </c>
      <c r="I107" s="33"/>
    </row>
    <row r="108" spans="1:9" ht="16" customHeight="1" thickBot="1" x14ac:dyDescent="0.4">
      <c r="A108" s="58" t="s">
        <v>200</v>
      </c>
      <c r="B108" s="59"/>
      <c r="C108" s="30"/>
      <c r="D108" s="30"/>
      <c r="E108" s="53">
        <v>0</v>
      </c>
      <c r="F108" s="30"/>
      <c r="G108" s="30"/>
      <c r="H108" s="30">
        <v>0</v>
      </c>
      <c r="I108" s="30"/>
    </row>
    <row r="109" spans="1:9" ht="31.5" customHeight="1" thickBot="1" x14ac:dyDescent="0.4">
      <c r="A109" s="34" t="s">
        <v>201</v>
      </c>
      <c r="B109" s="49" t="s">
        <v>202</v>
      </c>
      <c r="C109" s="33"/>
      <c r="D109" s="34" t="s">
        <v>12</v>
      </c>
      <c r="E109" s="52">
        <v>0</v>
      </c>
      <c r="F109" s="34">
        <v>0</v>
      </c>
      <c r="G109" s="34">
        <v>0</v>
      </c>
      <c r="H109" s="35">
        <v>0</v>
      </c>
      <c r="I109" s="33"/>
    </row>
    <row r="110" spans="1:9" ht="31.5" customHeight="1" thickBot="1" x14ac:dyDescent="0.4">
      <c r="A110" s="38" t="s">
        <v>203</v>
      </c>
      <c r="B110" s="48" t="s">
        <v>202</v>
      </c>
      <c r="C110" s="30"/>
      <c r="D110" s="38" t="s">
        <v>12</v>
      </c>
      <c r="E110" s="39">
        <v>12</v>
      </c>
      <c r="F110" s="38">
        <v>0</v>
      </c>
      <c r="G110" s="38">
        <v>0</v>
      </c>
      <c r="H110" s="39">
        <v>12</v>
      </c>
      <c r="I110" s="38" t="s">
        <v>46</v>
      </c>
    </row>
    <row r="111" spans="1:9" ht="31.5" customHeight="1" thickBot="1" x14ac:dyDescent="0.4">
      <c r="A111" s="34" t="s">
        <v>204</v>
      </c>
      <c r="B111" s="49" t="s">
        <v>205</v>
      </c>
      <c r="C111" s="34" t="s">
        <v>206</v>
      </c>
      <c r="D111" s="34" t="s">
        <v>12</v>
      </c>
      <c r="E111" s="52">
        <v>0</v>
      </c>
      <c r="F111" s="34">
        <v>0</v>
      </c>
      <c r="G111" s="34">
        <v>0</v>
      </c>
      <c r="H111" s="35">
        <v>0</v>
      </c>
      <c r="I111" s="33"/>
    </row>
    <row r="112" spans="1:9" ht="31.5" customHeight="1" thickBot="1" x14ac:dyDescent="0.4">
      <c r="A112" s="38" t="s">
        <v>207</v>
      </c>
      <c r="B112" s="48" t="s">
        <v>208</v>
      </c>
      <c r="C112" s="30"/>
      <c r="D112" s="38" t="s">
        <v>12</v>
      </c>
      <c r="E112" s="53">
        <v>0</v>
      </c>
      <c r="F112" s="38">
        <v>0</v>
      </c>
      <c r="G112" s="38">
        <v>0</v>
      </c>
      <c r="H112" s="39">
        <v>0</v>
      </c>
      <c r="I112" s="30"/>
    </row>
    <row r="113" spans="1:9" ht="31.5" customHeight="1" thickBot="1" x14ac:dyDescent="0.4">
      <c r="A113" s="34" t="s">
        <v>209</v>
      </c>
      <c r="B113" s="49" t="s">
        <v>210</v>
      </c>
      <c r="C113" s="33"/>
      <c r="D113" s="34" t="s">
        <v>12</v>
      </c>
      <c r="E113" s="52">
        <v>0</v>
      </c>
      <c r="F113" s="34">
        <v>0</v>
      </c>
      <c r="G113" s="34">
        <v>0</v>
      </c>
      <c r="H113" s="35">
        <v>0</v>
      </c>
      <c r="I113" s="33"/>
    </row>
    <row r="114" spans="1:9" ht="31.5" customHeight="1" thickBot="1" x14ac:dyDescent="0.4">
      <c r="A114" s="38" t="s">
        <v>211</v>
      </c>
      <c r="B114" s="48" t="s">
        <v>212</v>
      </c>
      <c r="C114" s="30"/>
      <c r="D114" s="38" t="s">
        <v>12</v>
      </c>
      <c r="E114" s="39">
        <v>9</v>
      </c>
      <c r="F114" s="38">
        <v>0</v>
      </c>
      <c r="G114" s="38">
        <v>0</v>
      </c>
      <c r="H114" s="39">
        <v>9</v>
      </c>
      <c r="I114" s="38" t="s">
        <v>213</v>
      </c>
    </row>
    <row r="115" spans="1:9" ht="31.5" customHeight="1" thickBot="1" x14ac:dyDescent="0.4">
      <c r="A115" s="34" t="s">
        <v>214</v>
      </c>
      <c r="B115" s="49" t="s">
        <v>215</v>
      </c>
      <c r="C115" s="33"/>
      <c r="D115" s="34" t="s">
        <v>12</v>
      </c>
      <c r="E115" s="52">
        <v>0</v>
      </c>
      <c r="F115" s="34">
        <v>0</v>
      </c>
      <c r="G115" s="34">
        <v>0</v>
      </c>
      <c r="H115" s="35">
        <v>0</v>
      </c>
      <c r="I115" s="33"/>
    </row>
    <row r="116" spans="1:9" ht="31.5" customHeight="1" thickBot="1" x14ac:dyDescent="0.4">
      <c r="A116" s="38" t="s">
        <v>216</v>
      </c>
      <c r="B116" s="48" t="s">
        <v>217</v>
      </c>
      <c r="C116" s="30"/>
      <c r="D116" s="38" t="s">
        <v>12</v>
      </c>
      <c r="E116" s="53">
        <v>0</v>
      </c>
      <c r="F116" s="38">
        <v>0</v>
      </c>
      <c r="G116" s="38">
        <v>0</v>
      </c>
      <c r="H116" s="39">
        <v>0</v>
      </c>
      <c r="I116" s="30"/>
    </row>
    <row r="117" spans="1:9" ht="31.5" customHeight="1" thickBot="1" x14ac:dyDescent="0.4">
      <c r="A117" s="34" t="s">
        <v>218</v>
      </c>
      <c r="B117" s="49" t="s">
        <v>219</v>
      </c>
      <c r="C117" s="34" t="s">
        <v>15</v>
      </c>
      <c r="D117" s="34" t="s">
        <v>12</v>
      </c>
      <c r="E117" s="52">
        <v>0</v>
      </c>
      <c r="F117" s="34">
        <v>0</v>
      </c>
      <c r="G117" s="34">
        <v>0</v>
      </c>
      <c r="H117" s="35">
        <v>0</v>
      </c>
      <c r="I117" s="33"/>
    </row>
    <row r="118" spans="1:9" ht="62.5" customHeight="1" thickBot="1" x14ac:dyDescent="0.4">
      <c r="A118" s="38" t="s">
        <v>220</v>
      </c>
      <c r="B118" s="48" t="s">
        <v>221</v>
      </c>
      <c r="C118" s="30"/>
      <c r="D118" s="38" t="s">
        <v>12</v>
      </c>
      <c r="E118" s="39">
        <v>8</v>
      </c>
      <c r="F118" s="38">
        <v>0</v>
      </c>
      <c r="G118" s="38">
        <v>0</v>
      </c>
      <c r="H118" s="39">
        <v>8</v>
      </c>
      <c r="I118" s="38" t="s">
        <v>222</v>
      </c>
    </row>
    <row r="119" spans="1:9" ht="31.5" customHeight="1" thickBot="1" x14ac:dyDescent="0.4">
      <c r="A119" s="34" t="s">
        <v>223</v>
      </c>
      <c r="B119" s="49" t="s">
        <v>224</v>
      </c>
      <c r="C119" s="34" t="s">
        <v>15</v>
      </c>
      <c r="D119" s="34" t="s">
        <v>12</v>
      </c>
      <c r="E119" s="52">
        <v>0</v>
      </c>
      <c r="F119" s="34">
        <v>0</v>
      </c>
      <c r="G119" s="34">
        <v>0</v>
      </c>
      <c r="H119" s="35">
        <v>0</v>
      </c>
      <c r="I119" s="33"/>
    </row>
    <row r="120" spans="1:9" ht="31.5" customHeight="1" thickBot="1" x14ac:dyDescent="0.4">
      <c r="A120" s="38" t="s">
        <v>225</v>
      </c>
      <c r="B120" s="48" t="s">
        <v>226</v>
      </c>
      <c r="C120" s="30"/>
      <c r="D120" s="38" t="s">
        <v>12</v>
      </c>
      <c r="E120" s="53">
        <v>0</v>
      </c>
      <c r="F120" s="38">
        <v>0</v>
      </c>
      <c r="G120" s="38">
        <v>0</v>
      </c>
      <c r="H120" s="39">
        <v>0</v>
      </c>
      <c r="I120" s="30"/>
    </row>
    <row r="121" spans="1:9" ht="124.5" customHeight="1" thickBot="1" x14ac:dyDescent="0.4">
      <c r="A121" s="34" t="s">
        <v>227</v>
      </c>
      <c r="B121" s="49" t="s">
        <v>228</v>
      </c>
      <c r="C121" s="34" t="s">
        <v>15</v>
      </c>
      <c r="D121" s="34" t="s">
        <v>12</v>
      </c>
      <c r="E121" s="35">
        <v>6</v>
      </c>
      <c r="F121" s="34">
        <v>0</v>
      </c>
      <c r="G121" s="34">
        <v>0</v>
      </c>
      <c r="H121" s="35">
        <v>6</v>
      </c>
      <c r="I121" s="34" t="s">
        <v>229</v>
      </c>
    </row>
    <row r="122" spans="1:9" ht="13" customHeight="1" thickBot="1" x14ac:dyDescent="0.3">
      <c r="A122" s="30"/>
      <c r="B122" s="30"/>
      <c r="C122" s="30"/>
      <c r="D122" s="30"/>
      <c r="E122" s="53">
        <v>0</v>
      </c>
      <c r="F122" s="30"/>
      <c r="G122" s="30"/>
      <c r="H122" s="30">
        <v>0</v>
      </c>
      <c r="I122" s="30"/>
    </row>
    <row r="123" spans="1:9" ht="13" customHeight="1" thickBot="1" x14ac:dyDescent="0.3">
      <c r="A123" s="33"/>
      <c r="B123" s="51"/>
      <c r="C123" s="33"/>
      <c r="D123" s="33"/>
      <c r="E123" s="52">
        <v>0</v>
      </c>
      <c r="F123" s="33"/>
      <c r="G123" s="33"/>
      <c r="H123" s="33">
        <v>0</v>
      </c>
      <c r="I123" s="33"/>
    </row>
    <row r="124" spans="1:9" ht="16" customHeight="1" thickBot="1" x14ac:dyDescent="0.4">
      <c r="A124" s="58" t="s">
        <v>230</v>
      </c>
      <c r="B124" s="59"/>
      <c r="C124" s="30"/>
      <c r="D124" s="30"/>
      <c r="E124" s="53">
        <v>0</v>
      </c>
      <c r="F124" s="30"/>
      <c r="G124" s="30"/>
      <c r="H124" s="30">
        <v>0</v>
      </c>
      <c r="I124" s="30"/>
    </row>
    <row r="125" spans="1:9" ht="31.5" customHeight="1" thickBot="1" x14ac:dyDescent="0.4">
      <c r="A125" s="34" t="s">
        <v>231</v>
      </c>
      <c r="B125" s="49" t="s">
        <v>232</v>
      </c>
      <c r="C125" s="33"/>
      <c r="D125" s="34" t="s">
        <v>50</v>
      </c>
      <c r="E125" s="52">
        <v>0</v>
      </c>
      <c r="F125" s="34">
        <v>0</v>
      </c>
      <c r="G125" s="34">
        <v>0</v>
      </c>
      <c r="H125" s="35">
        <v>0</v>
      </c>
      <c r="I125" s="33"/>
    </row>
    <row r="126" spans="1:9" ht="31.5" customHeight="1" thickBot="1" x14ac:dyDescent="0.4">
      <c r="A126" s="38" t="s">
        <v>233</v>
      </c>
      <c r="B126" s="48" t="s">
        <v>234</v>
      </c>
      <c r="C126" s="38" t="s">
        <v>23</v>
      </c>
      <c r="D126" s="38" t="s">
        <v>12</v>
      </c>
      <c r="E126" s="53">
        <v>0</v>
      </c>
      <c r="F126" s="38">
        <v>0</v>
      </c>
      <c r="G126" s="38">
        <v>0</v>
      </c>
      <c r="H126" s="39">
        <v>0</v>
      </c>
      <c r="I126" s="30"/>
    </row>
    <row r="127" spans="1:9" ht="31.5" customHeight="1" thickBot="1" x14ac:dyDescent="0.4">
      <c r="A127" s="34" t="s">
        <v>235</v>
      </c>
      <c r="B127" s="49" t="s">
        <v>236</v>
      </c>
      <c r="C127" s="34" t="s">
        <v>15</v>
      </c>
      <c r="D127" s="34" t="s">
        <v>12</v>
      </c>
      <c r="E127" s="35">
        <v>12</v>
      </c>
      <c r="F127" s="34">
        <v>0</v>
      </c>
      <c r="G127" s="34">
        <v>0</v>
      </c>
      <c r="H127" s="35">
        <v>12</v>
      </c>
      <c r="I127" s="34" t="s">
        <v>121</v>
      </c>
    </row>
    <row r="128" spans="1:9" ht="31.5" customHeight="1" thickBot="1" x14ac:dyDescent="0.4">
      <c r="A128" s="38" t="s">
        <v>237</v>
      </c>
      <c r="B128" s="48" t="s">
        <v>238</v>
      </c>
      <c r="C128" s="38" t="s">
        <v>23</v>
      </c>
      <c r="D128" s="38" t="s">
        <v>12</v>
      </c>
      <c r="E128" s="39">
        <v>12</v>
      </c>
      <c r="F128" s="38">
        <v>0</v>
      </c>
      <c r="G128" s="38">
        <v>0</v>
      </c>
      <c r="H128" s="39">
        <v>12</v>
      </c>
      <c r="I128" s="38" t="s">
        <v>46</v>
      </c>
    </row>
    <row r="129" spans="1:9" ht="31.5" customHeight="1" thickBot="1" x14ac:dyDescent="0.4">
      <c r="A129" s="34" t="s">
        <v>239</v>
      </c>
      <c r="B129" s="34" t="s">
        <v>240</v>
      </c>
      <c r="C129" s="33"/>
      <c r="D129" s="34" t="s">
        <v>12</v>
      </c>
      <c r="E129" s="52">
        <v>0</v>
      </c>
      <c r="F129" s="34">
        <v>0</v>
      </c>
      <c r="G129" s="34">
        <v>0</v>
      </c>
      <c r="H129" s="35">
        <v>0</v>
      </c>
      <c r="I129" s="33"/>
    </row>
    <row r="130" spans="1:9" ht="31.5" customHeight="1" thickBot="1" x14ac:dyDescent="0.4">
      <c r="A130" s="38" t="s">
        <v>241</v>
      </c>
      <c r="B130" s="48" t="s">
        <v>242</v>
      </c>
      <c r="C130" s="30"/>
      <c r="D130" s="38" t="s">
        <v>12</v>
      </c>
      <c r="E130" s="39">
        <v>6</v>
      </c>
      <c r="F130" s="38">
        <v>0</v>
      </c>
      <c r="G130" s="38">
        <v>0</v>
      </c>
      <c r="H130" s="39">
        <v>6</v>
      </c>
      <c r="I130" s="38" t="s">
        <v>243</v>
      </c>
    </row>
    <row r="131" spans="1:9" ht="47" customHeight="1" thickBot="1" x14ac:dyDescent="0.4">
      <c r="A131" s="34" t="s">
        <v>244</v>
      </c>
      <c r="B131" s="49" t="s">
        <v>245</v>
      </c>
      <c r="C131" s="34" t="s">
        <v>23</v>
      </c>
      <c r="D131" s="34" t="s">
        <v>12</v>
      </c>
      <c r="E131" s="35">
        <v>0</v>
      </c>
      <c r="F131" s="34">
        <v>0</v>
      </c>
      <c r="G131" s="34">
        <v>0</v>
      </c>
      <c r="H131" s="35">
        <v>0</v>
      </c>
      <c r="I131" s="34"/>
    </row>
    <row r="132" spans="1:9" ht="31.5" customHeight="1" thickBot="1" x14ac:dyDescent="0.4">
      <c r="A132" s="38" t="s">
        <v>246</v>
      </c>
      <c r="B132" s="48" t="s">
        <v>247</v>
      </c>
      <c r="C132" s="30"/>
      <c r="D132" s="38" t="s">
        <v>12</v>
      </c>
      <c r="E132" s="39">
        <v>12</v>
      </c>
      <c r="F132" s="38">
        <v>0</v>
      </c>
      <c r="G132" s="38">
        <v>0</v>
      </c>
      <c r="H132" s="39">
        <v>12</v>
      </c>
      <c r="I132" s="38" t="s">
        <v>46</v>
      </c>
    </row>
    <row r="133" spans="1:9" ht="31.5" customHeight="1" thickBot="1" x14ac:dyDescent="0.4">
      <c r="A133" s="34" t="s">
        <v>248</v>
      </c>
      <c r="B133" s="49" t="s">
        <v>249</v>
      </c>
      <c r="C133" s="34" t="s">
        <v>23</v>
      </c>
      <c r="D133" s="34" t="s">
        <v>12</v>
      </c>
      <c r="E133" s="52">
        <v>0</v>
      </c>
      <c r="F133" s="34">
        <v>0</v>
      </c>
      <c r="G133" s="34">
        <v>0</v>
      </c>
      <c r="H133" s="35">
        <v>0</v>
      </c>
      <c r="I133" s="33"/>
    </row>
    <row r="134" spans="1:9" ht="31.5" customHeight="1" thickBot="1" x14ac:dyDescent="0.4">
      <c r="A134" s="38" t="s">
        <v>216</v>
      </c>
      <c r="B134" s="48" t="s">
        <v>250</v>
      </c>
      <c r="C134" s="30"/>
      <c r="D134" s="38" t="s">
        <v>12</v>
      </c>
      <c r="E134" s="53">
        <v>0</v>
      </c>
      <c r="F134" s="38">
        <v>0</v>
      </c>
      <c r="G134" s="38">
        <v>0</v>
      </c>
      <c r="H134" s="39">
        <v>0</v>
      </c>
      <c r="I134" s="30"/>
    </row>
    <row r="135" spans="1:9" ht="31.5" customHeight="1" thickBot="1" x14ac:dyDescent="0.4">
      <c r="A135" s="34" t="s">
        <v>251</v>
      </c>
      <c r="B135" s="49" t="s">
        <v>252</v>
      </c>
      <c r="C135" s="33"/>
      <c r="D135" s="34" t="s">
        <v>12</v>
      </c>
      <c r="E135" s="52">
        <v>0</v>
      </c>
      <c r="F135" s="34">
        <v>0</v>
      </c>
      <c r="G135" s="34">
        <v>0</v>
      </c>
      <c r="H135" s="35">
        <v>0</v>
      </c>
      <c r="I135" s="33"/>
    </row>
    <row r="136" spans="1:9" ht="31.5" customHeight="1" thickBot="1" x14ac:dyDescent="0.4">
      <c r="A136" s="38" t="s">
        <v>253</v>
      </c>
      <c r="B136" s="48" t="s">
        <v>254</v>
      </c>
      <c r="C136" s="30"/>
      <c r="D136" s="38" t="s">
        <v>12</v>
      </c>
      <c r="E136" s="53">
        <v>0</v>
      </c>
      <c r="F136" s="38">
        <v>0</v>
      </c>
      <c r="G136" s="38">
        <v>0</v>
      </c>
      <c r="H136" s="39">
        <v>0</v>
      </c>
      <c r="I136" s="30"/>
    </row>
    <row r="137" spans="1:9" ht="31.5" customHeight="1" thickBot="1" x14ac:dyDescent="0.4">
      <c r="A137" s="34" t="s">
        <v>255</v>
      </c>
      <c r="B137" s="49" t="s">
        <v>256</v>
      </c>
      <c r="C137" s="33"/>
      <c r="D137" s="34" t="s">
        <v>12</v>
      </c>
      <c r="E137" s="52">
        <v>0</v>
      </c>
      <c r="F137" s="34">
        <v>0</v>
      </c>
      <c r="G137" s="34">
        <v>0</v>
      </c>
      <c r="H137" s="35">
        <v>0</v>
      </c>
      <c r="I137" s="33"/>
    </row>
    <row r="138" spans="1:9" ht="13" customHeight="1" thickBot="1" x14ac:dyDescent="0.3">
      <c r="A138" s="30"/>
      <c r="B138" s="50"/>
      <c r="C138" s="30"/>
      <c r="D138" s="30"/>
      <c r="E138" s="53">
        <v>0</v>
      </c>
      <c r="F138" s="30"/>
      <c r="G138" s="30"/>
      <c r="H138" s="30">
        <v>0</v>
      </c>
      <c r="I138" s="30"/>
    </row>
  </sheetData>
  <mergeCells count="11">
    <mergeCell ref="A124:B124"/>
    <mergeCell ref="A91:B91"/>
    <mergeCell ref="C2:E2"/>
    <mergeCell ref="A2:B2"/>
    <mergeCell ref="A54:B54"/>
    <mergeCell ref="A108:B108"/>
    <mergeCell ref="A19:B19"/>
    <mergeCell ref="C19:D19"/>
    <mergeCell ref="A75:B75"/>
    <mergeCell ref="C36:D36"/>
    <mergeCell ref="A36:B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3"/>
  <sheetViews>
    <sheetView topLeftCell="A4" workbookViewId="0">
      <selection activeCell="A7" sqref="A7"/>
    </sheetView>
  </sheetViews>
  <sheetFormatPr defaultColWidth="12.6328125" defaultRowHeight="15.75" customHeight="1" x14ac:dyDescent="0.25"/>
  <sheetData>
    <row r="1" spans="1:2" ht="15.75" customHeight="1" x14ac:dyDescent="0.35">
      <c r="A1" s="1" t="s">
        <v>402</v>
      </c>
      <c r="B1" s="2" t="s">
        <v>403</v>
      </c>
    </row>
    <row r="2" spans="1:2" ht="15.75" customHeight="1" x14ac:dyDescent="0.3">
      <c r="A2" s="3" t="s">
        <v>404</v>
      </c>
      <c r="B2" s="3">
        <v>8</v>
      </c>
    </row>
    <row r="3" spans="1:2" ht="15.75" customHeight="1" x14ac:dyDescent="0.3">
      <c r="A3" s="3" t="s">
        <v>170</v>
      </c>
      <c r="B3" s="3">
        <v>6</v>
      </c>
    </row>
    <row r="4" spans="1:2" ht="15.75" customHeight="1" x14ac:dyDescent="0.3">
      <c r="A4" s="3" t="s">
        <v>405</v>
      </c>
      <c r="B4" s="3">
        <v>2</v>
      </c>
    </row>
    <row r="5" spans="1:2" ht="15.75" customHeight="1" x14ac:dyDescent="0.3">
      <c r="A5" s="3" t="s">
        <v>406</v>
      </c>
      <c r="B5" s="3">
        <v>3</v>
      </c>
    </row>
    <row r="6" spans="1:2" ht="15.75" customHeight="1" x14ac:dyDescent="0.3">
      <c r="A6" s="3" t="s">
        <v>407</v>
      </c>
      <c r="B6" s="3">
        <v>4</v>
      </c>
    </row>
    <row r="7" spans="1:2" ht="15.75" customHeight="1" x14ac:dyDescent="0.3">
      <c r="A7" s="3" t="s">
        <v>408</v>
      </c>
      <c r="B7" s="3">
        <v>6</v>
      </c>
    </row>
    <row r="8" spans="1:2" ht="15.75" customHeight="1" x14ac:dyDescent="0.3">
      <c r="A8" s="3" t="s">
        <v>409</v>
      </c>
      <c r="B8" s="3">
        <v>3</v>
      </c>
    </row>
    <row r="9" spans="1:2" ht="15.75" customHeight="1" x14ac:dyDescent="0.3">
      <c r="A9" s="3" t="s">
        <v>410</v>
      </c>
      <c r="B9" s="3">
        <v>4</v>
      </c>
    </row>
    <row r="10" spans="1:2" ht="15.75" customHeight="1" x14ac:dyDescent="0.3">
      <c r="A10" s="3" t="s">
        <v>411</v>
      </c>
      <c r="B10" s="3">
        <v>4</v>
      </c>
    </row>
    <row r="11" spans="1:2" ht="15.75" customHeight="1" x14ac:dyDescent="0.3">
      <c r="A11" s="3" t="s">
        <v>61</v>
      </c>
      <c r="B11" s="3">
        <v>4</v>
      </c>
    </row>
    <row r="12" spans="1:2" ht="15.75" customHeight="1" x14ac:dyDescent="0.3">
      <c r="A12" s="3" t="s">
        <v>243</v>
      </c>
      <c r="B12" s="3">
        <v>6</v>
      </c>
    </row>
    <row r="13" spans="1:2" ht="15.75" customHeight="1" x14ac:dyDescent="0.3">
      <c r="A13" s="3" t="s">
        <v>412</v>
      </c>
      <c r="B13" s="3">
        <v>4</v>
      </c>
    </row>
    <row r="14" spans="1:2" ht="15.75" customHeight="1" x14ac:dyDescent="0.3">
      <c r="A14" s="3" t="s">
        <v>121</v>
      </c>
      <c r="B14" s="3">
        <v>12</v>
      </c>
    </row>
    <row r="15" spans="1:2" ht="15.75" customHeight="1" x14ac:dyDescent="0.3">
      <c r="A15" s="3" t="s">
        <v>413</v>
      </c>
      <c r="B15" s="3">
        <v>10</v>
      </c>
    </row>
    <row r="16" spans="1:2" ht="15.75" customHeight="1" x14ac:dyDescent="0.3">
      <c r="A16" s="3" t="s">
        <v>102</v>
      </c>
      <c r="B16" s="3">
        <v>9</v>
      </c>
    </row>
    <row r="17" spans="1:2" ht="15.75" customHeight="1" x14ac:dyDescent="0.3">
      <c r="A17" s="3" t="s">
        <v>414</v>
      </c>
      <c r="B17" s="3">
        <v>3</v>
      </c>
    </row>
    <row r="18" spans="1:2" ht="15.75" customHeight="1" x14ac:dyDescent="0.3">
      <c r="A18" s="3" t="s">
        <v>415</v>
      </c>
      <c r="B18" s="3">
        <v>12</v>
      </c>
    </row>
    <row r="19" spans="1:2" ht="15.75" customHeight="1" x14ac:dyDescent="0.3">
      <c r="A19" s="3" t="s">
        <v>416</v>
      </c>
      <c r="B19" s="3">
        <v>1</v>
      </c>
    </row>
    <row r="20" spans="1:2" ht="15.75" customHeight="1" x14ac:dyDescent="0.3">
      <c r="A20" s="3" t="s">
        <v>417</v>
      </c>
      <c r="B20" s="3">
        <v>1</v>
      </c>
    </row>
    <row r="21" spans="1:2" ht="15.75" customHeight="1" x14ac:dyDescent="0.3">
      <c r="A21" s="3" t="s">
        <v>418</v>
      </c>
      <c r="B21" s="3">
        <v>1</v>
      </c>
    </row>
    <row r="22" spans="1:2" ht="12.5" customHeight="1" x14ac:dyDescent="0.25">
      <c r="A22" s="5" t="s">
        <v>419</v>
      </c>
      <c r="B22" s="5">
        <v>6</v>
      </c>
    </row>
    <row r="23" spans="1:2" ht="12.5" customHeight="1" x14ac:dyDescent="0.25">
      <c r="A23" s="6"/>
      <c r="B2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9" sqref="A9"/>
    </sheetView>
  </sheetViews>
  <sheetFormatPr defaultRowHeight="12.5" x14ac:dyDescent="0.25"/>
  <sheetData>
    <row r="1" spans="1:2" ht="13" customHeight="1" thickBot="1" x14ac:dyDescent="0.3">
      <c r="A1" s="19" t="s">
        <v>321</v>
      </c>
      <c r="B1" s="19" t="s">
        <v>322</v>
      </c>
    </row>
    <row r="2" spans="1:2" ht="13" customHeight="1" thickBot="1" x14ac:dyDescent="0.3">
      <c r="A2" s="19" t="s">
        <v>324</v>
      </c>
      <c r="B2" s="20">
        <v>1</v>
      </c>
    </row>
    <row r="3" spans="1:2" ht="13" customHeight="1" thickBot="1" x14ac:dyDescent="0.3">
      <c r="A3" s="19" t="s">
        <v>326</v>
      </c>
      <c r="B3" s="20">
        <v>2</v>
      </c>
    </row>
    <row r="4" spans="1:2" ht="13" customHeight="1" thickBot="1" x14ac:dyDescent="0.3">
      <c r="A4" s="19" t="s">
        <v>328</v>
      </c>
      <c r="B4" s="20">
        <v>2</v>
      </c>
    </row>
    <row r="5" spans="1:2" ht="13" customHeight="1" thickBot="1" x14ac:dyDescent="0.3">
      <c r="A5" s="19" t="s">
        <v>331</v>
      </c>
      <c r="B5" s="20">
        <v>4</v>
      </c>
    </row>
    <row r="6" spans="1:2" ht="13" customHeight="1" thickBot="1" x14ac:dyDescent="0.3">
      <c r="A6" s="19" t="s">
        <v>332</v>
      </c>
      <c r="B6" s="20">
        <v>5</v>
      </c>
    </row>
    <row r="7" spans="1:2" ht="13" customHeight="1" thickBot="1" x14ac:dyDescent="0.3">
      <c r="A7" s="19" t="s">
        <v>336</v>
      </c>
      <c r="B7" s="20">
        <v>5</v>
      </c>
    </row>
    <row r="8" spans="1:2" ht="13" customHeight="1" thickBot="1" x14ac:dyDescent="0.3">
      <c r="A8" s="19" t="s">
        <v>339</v>
      </c>
      <c r="B8" s="20">
        <v>2</v>
      </c>
    </row>
    <row r="9" spans="1:2" ht="13" customHeight="1" thickBot="1" x14ac:dyDescent="0.3">
      <c r="A9" s="19" t="s">
        <v>344</v>
      </c>
      <c r="B9" s="20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4"/>
  <sheetViews>
    <sheetView workbookViewId="0">
      <selection activeCell="L178" sqref="L178"/>
    </sheetView>
  </sheetViews>
  <sheetFormatPr defaultRowHeight="12.5" x14ac:dyDescent="0.25"/>
  <sheetData>
    <row r="1" spans="1:11" x14ac:dyDescent="0.25">
      <c r="A1" s="21" t="s">
        <v>420</v>
      </c>
      <c r="B1" s="21" t="s">
        <v>421</v>
      </c>
      <c r="C1" s="21" t="s">
        <v>422</v>
      </c>
      <c r="D1" s="21" t="s">
        <v>423</v>
      </c>
      <c r="E1" s="21" t="s">
        <v>424</v>
      </c>
      <c r="F1" s="21" t="s">
        <v>425</v>
      </c>
      <c r="G1" s="65" t="s">
        <v>426</v>
      </c>
      <c r="H1" s="65" t="s">
        <v>427</v>
      </c>
      <c r="I1" s="21" t="s">
        <v>428</v>
      </c>
      <c r="J1" s="67"/>
    </row>
    <row r="2" spans="1:11" ht="21.5" customHeight="1" thickBot="1" x14ac:dyDescent="0.3">
      <c r="A2" s="22" t="s">
        <v>429</v>
      </c>
      <c r="B2" s="22" t="s">
        <v>429</v>
      </c>
      <c r="C2" s="22" t="s">
        <v>429</v>
      </c>
      <c r="D2" s="22" t="s">
        <v>429</v>
      </c>
      <c r="E2" s="22" t="s">
        <v>429</v>
      </c>
      <c r="F2" s="22" t="s">
        <v>429</v>
      </c>
      <c r="G2" s="66"/>
      <c r="H2" s="66"/>
      <c r="I2" s="22" t="s">
        <v>429</v>
      </c>
      <c r="J2" s="66"/>
    </row>
    <row r="3" spans="1:11" ht="42.5" customHeight="1" thickBot="1" x14ac:dyDescent="0.3">
      <c r="A3" s="24">
        <v>503686</v>
      </c>
      <c r="B3" s="25" t="s">
        <v>268</v>
      </c>
      <c r="C3" s="26">
        <v>0.5625</v>
      </c>
      <c r="D3" s="25" t="s">
        <v>274</v>
      </c>
      <c r="E3" s="25" t="s">
        <v>275</v>
      </c>
      <c r="F3" s="25" t="s">
        <v>430</v>
      </c>
      <c r="G3" s="25" t="s">
        <v>431</v>
      </c>
      <c r="H3" s="25" t="s">
        <v>432</v>
      </c>
      <c r="I3" s="25" t="s">
        <v>433</v>
      </c>
      <c r="J3" s="25" t="s">
        <v>434</v>
      </c>
      <c r="K3" s="23"/>
    </row>
    <row r="4" spans="1:11" ht="32" customHeight="1" thickBot="1" x14ac:dyDescent="0.3">
      <c r="A4" s="24">
        <v>511725</v>
      </c>
      <c r="B4" s="25" t="s">
        <v>268</v>
      </c>
      <c r="C4" s="26">
        <v>0.5625</v>
      </c>
      <c r="D4" s="25" t="s">
        <v>270</v>
      </c>
      <c r="E4" s="25" t="s">
        <v>271</v>
      </c>
      <c r="F4" s="25" t="s">
        <v>435</v>
      </c>
      <c r="G4" s="25" t="s">
        <v>431</v>
      </c>
      <c r="H4" s="25" t="s">
        <v>432</v>
      </c>
      <c r="I4" s="25" t="s">
        <v>433</v>
      </c>
      <c r="J4" s="25" t="s">
        <v>434</v>
      </c>
      <c r="K4" s="23"/>
    </row>
    <row r="5" spans="1:11" ht="32" customHeight="1" thickBot="1" x14ac:dyDescent="0.3">
      <c r="A5" s="24">
        <v>505347</v>
      </c>
      <c r="B5" s="25" t="s">
        <v>268</v>
      </c>
      <c r="C5" s="26">
        <v>0.64583333333333337</v>
      </c>
      <c r="D5" s="25" t="s">
        <v>279</v>
      </c>
      <c r="E5" s="25" t="s">
        <v>280</v>
      </c>
      <c r="F5" s="25" t="s">
        <v>430</v>
      </c>
      <c r="G5" s="25" t="s">
        <v>431</v>
      </c>
      <c r="H5" s="25" t="s">
        <v>432</v>
      </c>
      <c r="I5" s="25" t="s">
        <v>433</v>
      </c>
      <c r="J5" s="25" t="s">
        <v>434</v>
      </c>
      <c r="K5" s="23"/>
    </row>
    <row r="6" spans="1:11" ht="32" customHeight="1" thickBot="1" x14ac:dyDescent="0.3">
      <c r="A6" s="24">
        <v>510668</v>
      </c>
      <c r="B6" s="25" t="s">
        <v>268</v>
      </c>
      <c r="C6" s="26">
        <v>0.64583333333333337</v>
      </c>
      <c r="D6" s="25" t="s">
        <v>282</v>
      </c>
      <c r="E6" s="25" t="s">
        <v>283</v>
      </c>
      <c r="F6" s="25" t="s">
        <v>435</v>
      </c>
      <c r="G6" s="25" t="s">
        <v>431</v>
      </c>
      <c r="H6" s="25" t="s">
        <v>432</v>
      </c>
      <c r="I6" s="25" t="s">
        <v>433</v>
      </c>
      <c r="J6" s="25" t="s">
        <v>434</v>
      </c>
      <c r="K6" s="23"/>
    </row>
    <row r="7" spans="1:11" ht="32" customHeight="1" thickBot="1" x14ac:dyDescent="0.3">
      <c r="A7" s="24">
        <v>509480</v>
      </c>
      <c r="B7" s="25" t="s">
        <v>284</v>
      </c>
      <c r="C7" s="26">
        <v>0.52083333333333337</v>
      </c>
      <c r="D7" s="25" t="s">
        <v>286</v>
      </c>
      <c r="E7" s="25" t="s">
        <v>287</v>
      </c>
      <c r="F7" s="25" t="s">
        <v>430</v>
      </c>
      <c r="G7" s="25" t="s">
        <v>431</v>
      </c>
      <c r="H7" s="25" t="s">
        <v>432</v>
      </c>
      <c r="I7" s="25" t="s">
        <v>436</v>
      </c>
      <c r="J7" s="25" t="s">
        <v>434</v>
      </c>
      <c r="K7" s="23"/>
    </row>
    <row r="8" spans="1:11" ht="32" customHeight="1" thickBot="1" x14ac:dyDescent="0.3">
      <c r="A8" s="24">
        <v>507294</v>
      </c>
      <c r="B8" s="25" t="s">
        <v>284</v>
      </c>
      <c r="C8" s="26">
        <v>0.61805555555555558</v>
      </c>
      <c r="D8" s="25" t="s">
        <v>291</v>
      </c>
      <c r="E8" s="25" t="s">
        <v>292</v>
      </c>
      <c r="F8" s="25" t="s">
        <v>430</v>
      </c>
      <c r="G8" s="25" t="s">
        <v>431</v>
      </c>
      <c r="H8" s="25" t="s">
        <v>432</v>
      </c>
      <c r="I8" s="25" t="s">
        <v>433</v>
      </c>
      <c r="J8" s="25" t="s">
        <v>434</v>
      </c>
      <c r="K8" s="23"/>
    </row>
    <row r="9" spans="1:11" ht="21.5" customHeight="1" thickBot="1" x14ac:dyDescent="0.3">
      <c r="A9" s="24">
        <v>508388</v>
      </c>
      <c r="B9" s="25" t="s">
        <v>293</v>
      </c>
      <c r="C9" s="26">
        <v>0.5</v>
      </c>
      <c r="D9" s="25" t="s">
        <v>369</v>
      </c>
      <c r="E9" s="25" t="s">
        <v>303</v>
      </c>
      <c r="F9" s="25" t="s">
        <v>435</v>
      </c>
      <c r="G9" s="25" t="s">
        <v>437</v>
      </c>
      <c r="H9" s="25" t="s">
        <v>432</v>
      </c>
      <c r="I9" s="25" t="s">
        <v>433</v>
      </c>
      <c r="J9" s="25" t="s">
        <v>434</v>
      </c>
      <c r="K9" s="23"/>
    </row>
    <row r="10" spans="1:11" ht="21.5" customHeight="1" thickBot="1" x14ac:dyDescent="0.3">
      <c r="A10" s="24">
        <v>505353</v>
      </c>
      <c r="B10" s="25" t="s">
        <v>293</v>
      </c>
      <c r="C10" s="26">
        <v>0.52083333333333337</v>
      </c>
      <c r="D10" s="25" t="s">
        <v>367</v>
      </c>
      <c r="E10" s="25" t="s">
        <v>279</v>
      </c>
      <c r="F10" s="25" t="s">
        <v>435</v>
      </c>
      <c r="G10" s="25" t="s">
        <v>438</v>
      </c>
      <c r="H10" s="25" t="s">
        <v>432</v>
      </c>
      <c r="I10" s="25" t="s">
        <v>433</v>
      </c>
      <c r="J10" s="25" t="s">
        <v>434</v>
      </c>
      <c r="K10" s="23"/>
    </row>
    <row r="11" spans="1:11" ht="32" customHeight="1" thickBot="1" x14ac:dyDescent="0.3">
      <c r="A11" s="24">
        <v>509487</v>
      </c>
      <c r="B11" s="25" t="s">
        <v>293</v>
      </c>
      <c r="C11" s="26">
        <v>0.60416666666666663</v>
      </c>
      <c r="D11" s="25" t="s">
        <v>286</v>
      </c>
      <c r="E11" s="25" t="s">
        <v>300</v>
      </c>
      <c r="F11" s="25" t="s">
        <v>430</v>
      </c>
      <c r="G11" s="25" t="s">
        <v>431</v>
      </c>
      <c r="H11" s="25" t="s">
        <v>432</v>
      </c>
      <c r="I11" s="25" t="s">
        <v>436</v>
      </c>
      <c r="J11" s="25" t="s">
        <v>434</v>
      </c>
      <c r="K11" s="23"/>
    </row>
    <row r="12" spans="1:11" ht="32" customHeight="1" thickBot="1" x14ac:dyDescent="0.3">
      <c r="A12" s="24">
        <v>503693</v>
      </c>
      <c r="B12" s="25" t="s">
        <v>293</v>
      </c>
      <c r="C12" s="26">
        <v>0.70833333333333337</v>
      </c>
      <c r="D12" s="25" t="s">
        <v>274</v>
      </c>
      <c r="E12" s="25" t="s">
        <v>297</v>
      </c>
      <c r="F12" s="25" t="s">
        <v>435</v>
      </c>
      <c r="G12" s="25" t="s">
        <v>431</v>
      </c>
      <c r="H12" s="25" t="s">
        <v>432</v>
      </c>
      <c r="I12" s="25" t="s">
        <v>433</v>
      </c>
      <c r="J12" s="25" t="s">
        <v>434</v>
      </c>
      <c r="K12" s="23"/>
    </row>
    <row r="13" spans="1:11" ht="32" customHeight="1" thickBot="1" x14ac:dyDescent="0.3">
      <c r="A13" s="24">
        <v>507301</v>
      </c>
      <c r="B13" s="25" t="s">
        <v>293</v>
      </c>
      <c r="C13" s="26">
        <v>0.70833333333333337</v>
      </c>
      <c r="D13" s="25" t="s">
        <v>292</v>
      </c>
      <c r="E13" s="25" t="s">
        <v>298</v>
      </c>
      <c r="F13" s="25" t="s">
        <v>430</v>
      </c>
      <c r="G13" s="25" t="s">
        <v>431</v>
      </c>
      <c r="H13" s="25" t="s">
        <v>432</v>
      </c>
      <c r="I13" s="25" t="s">
        <v>433</v>
      </c>
      <c r="J13" s="25" t="s">
        <v>434</v>
      </c>
      <c r="K13" s="23"/>
    </row>
    <row r="14" spans="1:11" ht="32" customHeight="1" thickBot="1" x14ac:dyDescent="0.3">
      <c r="A14" s="24">
        <v>507298</v>
      </c>
      <c r="B14" s="25" t="s">
        <v>293</v>
      </c>
      <c r="C14" s="26">
        <v>0.79166666666666663</v>
      </c>
      <c r="D14" s="25" t="s">
        <v>291</v>
      </c>
      <c r="E14" s="25" t="s">
        <v>295</v>
      </c>
      <c r="F14" s="25" t="s">
        <v>430</v>
      </c>
      <c r="G14" s="25" t="s">
        <v>431</v>
      </c>
      <c r="H14" s="25" t="s">
        <v>432</v>
      </c>
      <c r="I14" s="25" t="s">
        <v>433</v>
      </c>
      <c r="J14" s="25" t="s">
        <v>434</v>
      </c>
      <c r="K14" s="23"/>
    </row>
    <row r="15" spans="1:11" ht="21.5" customHeight="1" thickBot="1" x14ac:dyDescent="0.3">
      <c r="A15" s="24">
        <v>511731</v>
      </c>
      <c r="B15" s="25" t="s">
        <v>293</v>
      </c>
      <c r="C15" s="26">
        <v>0.79166666666666663</v>
      </c>
      <c r="D15" s="25" t="s">
        <v>368</v>
      </c>
      <c r="E15" s="25" t="s">
        <v>270</v>
      </c>
      <c r="F15" s="25" t="s">
        <v>435</v>
      </c>
      <c r="G15" s="25" t="s">
        <v>439</v>
      </c>
      <c r="H15" s="25" t="s">
        <v>432</v>
      </c>
      <c r="I15" s="25" t="s">
        <v>433</v>
      </c>
      <c r="J15" s="25" t="s">
        <v>434</v>
      </c>
      <c r="K15" s="23"/>
    </row>
    <row r="16" spans="1:11" ht="32" customHeight="1" thickBot="1" x14ac:dyDescent="0.3">
      <c r="A16" s="24">
        <v>510674</v>
      </c>
      <c r="B16" s="25" t="s">
        <v>440</v>
      </c>
      <c r="C16" s="26">
        <v>0.41666666666666669</v>
      </c>
      <c r="D16" s="25" t="s">
        <v>366</v>
      </c>
      <c r="E16" s="25" t="s">
        <v>282</v>
      </c>
      <c r="F16" s="25" t="s">
        <v>435</v>
      </c>
      <c r="G16" s="25" t="s">
        <v>441</v>
      </c>
      <c r="H16" s="25" t="s">
        <v>432</v>
      </c>
      <c r="I16" s="25" t="s">
        <v>433</v>
      </c>
      <c r="J16" s="25" t="s">
        <v>434</v>
      </c>
      <c r="K16" s="23"/>
    </row>
    <row r="17" spans="1:11" ht="21.5" customHeight="1" thickBot="1" x14ac:dyDescent="0.3">
      <c r="A17" s="24">
        <v>503699</v>
      </c>
      <c r="B17" s="25" t="s">
        <v>301</v>
      </c>
      <c r="C17" s="26">
        <v>0.5</v>
      </c>
      <c r="D17" s="25" t="s">
        <v>372</v>
      </c>
      <c r="E17" s="25" t="s">
        <v>274</v>
      </c>
      <c r="F17" s="25" t="s">
        <v>430</v>
      </c>
      <c r="G17" s="25" t="s">
        <v>442</v>
      </c>
      <c r="H17" s="25" t="s">
        <v>432</v>
      </c>
      <c r="I17" s="25" t="s">
        <v>433</v>
      </c>
      <c r="J17" s="25" t="s">
        <v>434</v>
      </c>
      <c r="K17" s="23"/>
    </row>
    <row r="18" spans="1:11" ht="32" customHeight="1" thickBot="1" x14ac:dyDescent="0.3">
      <c r="A18" s="24">
        <v>505358</v>
      </c>
      <c r="B18" s="25" t="s">
        <v>301</v>
      </c>
      <c r="C18" s="26">
        <v>0.5625</v>
      </c>
      <c r="D18" s="25" t="s">
        <v>279</v>
      </c>
      <c r="E18" s="25" t="s">
        <v>302</v>
      </c>
      <c r="F18" s="25" t="s">
        <v>435</v>
      </c>
      <c r="G18" s="25" t="s">
        <v>431</v>
      </c>
      <c r="H18" s="25" t="s">
        <v>432</v>
      </c>
      <c r="I18" s="25" t="s">
        <v>433</v>
      </c>
      <c r="J18" s="25" t="s">
        <v>434</v>
      </c>
      <c r="K18" s="23"/>
    </row>
    <row r="19" spans="1:11" ht="32" customHeight="1" thickBot="1" x14ac:dyDescent="0.3">
      <c r="A19" s="24">
        <v>508392</v>
      </c>
      <c r="B19" s="25" t="s">
        <v>301</v>
      </c>
      <c r="C19" s="26">
        <v>0.5625</v>
      </c>
      <c r="D19" s="25" t="s">
        <v>303</v>
      </c>
      <c r="E19" s="25" t="s">
        <v>304</v>
      </c>
      <c r="F19" s="25" t="s">
        <v>430</v>
      </c>
      <c r="G19" s="25" t="s">
        <v>431</v>
      </c>
      <c r="H19" s="25" t="s">
        <v>432</v>
      </c>
      <c r="I19" s="25" t="s">
        <v>433</v>
      </c>
      <c r="J19" s="25" t="s">
        <v>434</v>
      </c>
      <c r="K19" s="23"/>
    </row>
    <row r="20" spans="1:11" ht="42.5" customHeight="1" thickBot="1" x14ac:dyDescent="0.3">
      <c r="A20" s="24">
        <v>510677</v>
      </c>
      <c r="B20" s="25" t="s">
        <v>301</v>
      </c>
      <c r="C20" s="26">
        <v>0.64583333333333337</v>
      </c>
      <c r="D20" s="25" t="s">
        <v>282</v>
      </c>
      <c r="E20" s="25" t="s">
        <v>306</v>
      </c>
      <c r="F20" s="25" t="s">
        <v>435</v>
      </c>
      <c r="G20" s="25" t="s">
        <v>431</v>
      </c>
      <c r="H20" s="25" t="s">
        <v>432</v>
      </c>
      <c r="I20" s="25" t="s">
        <v>433</v>
      </c>
      <c r="J20" s="25" t="s">
        <v>434</v>
      </c>
      <c r="K20" s="23"/>
    </row>
    <row r="21" spans="1:11" ht="32" customHeight="1" thickBot="1" x14ac:dyDescent="0.3">
      <c r="A21" s="24">
        <v>511736</v>
      </c>
      <c r="B21" s="25" t="s">
        <v>301</v>
      </c>
      <c r="C21" s="26">
        <v>0.64583333333333337</v>
      </c>
      <c r="D21" s="25" t="s">
        <v>270</v>
      </c>
      <c r="E21" s="25" t="s">
        <v>305</v>
      </c>
      <c r="F21" s="25" t="s">
        <v>430</v>
      </c>
      <c r="G21" s="25" t="s">
        <v>431</v>
      </c>
      <c r="H21" s="25" t="s">
        <v>432</v>
      </c>
      <c r="I21" s="25" t="s">
        <v>433</v>
      </c>
      <c r="J21" s="25" t="s">
        <v>434</v>
      </c>
      <c r="K21" s="23"/>
    </row>
    <row r="22" spans="1:11" ht="21.5" customHeight="1" thickBot="1" x14ac:dyDescent="0.3">
      <c r="A22" s="24">
        <v>509493</v>
      </c>
      <c r="B22" s="25" t="s">
        <v>301</v>
      </c>
      <c r="C22" s="26">
        <v>0.6875</v>
      </c>
      <c r="D22" s="25" t="s">
        <v>374</v>
      </c>
      <c r="E22" s="25" t="s">
        <v>286</v>
      </c>
      <c r="F22" s="25" t="s">
        <v>435</v>
      </c>
      <c r="G22" s="25" t="s">
        <v>443</v>
      </c>
      <c r="H22" s="25" t="s">
        <v>432</v>
      </c>
      <c r="I22" s="25" t="s">
        <v>436</v>
      </c>
      <c r="J22" s="25" t="s">
        <v>434</v>
      </c>
      <c r="K22" s="23"/>
    </row>
    <row r="23" spans="1:11" ht="21.5" customHeight="1" thickBot="1" x14ac:dyDescent="0.3">
      <c r="A23" s="24">
        <v>507303</v>
      </c>
      <c r="B23" s="25" t="s">
        <v>301</v>
      </c>
      <c r="C23" s="26">
        <v>0.84375</v>
      </c>
      <c r="D23" s="25" t="s">
        <v>371</v>
      </c>
      <c r="E23" s="25" t="s">
        <v>291</v>
      </c>
      <c r="F23" s="25" t="s">
        <v>435</v>
      </c>
      <c r="G23" s="25" t="s">
        <v>444</v>
      </c>
      <c r="H23" s="25" t="s">
        <v>432</v>
      </c>
      <c r="I23" s="25" t="s">
        <v>433</v>
      </c>
      <c r="J23" s="25" t="s">
        <v>434</v>
      </c>
      <c r="K23" s="23"/>
    </row>
    <row r="24" spans="1:11" ht="21.5" customHeight="1" thickBot="1" x14ac:dyDescent="0.3">
      <c r="A24" s="24">
        <v>507302</v>
      </c>
      <c r="B24" s="25" t="s">
        <v>445</v>
      </c>
      <c r="C24" s="26">
        <v>0.63541666666666663</v>
      </c>
      <c r="D24" s="25" t="s">
        <v>295</v>
      </c>
      <c r="E24" s="25" t="s">
        <v>292</v>
      </c>
      <c r="F24" s="25" t="s">
        <v>435</v>
      </c>
      <c r="G24" s="25" t="s">
        <v>446</v>
      </c>
      <c r="H24" s="25" t="s">
        <v>432</v>
      </c>
      <c r="I24" s="25" t="s">
        <v>433</v>
      </c>
      <c r="J24" s="25" t="s">
        <v>434</v>
      </c>
      <c r="K24" s="23"/>
    </row>
    <row r="25" spans="1:11" ht="32" customHeight="1" thickBot="1" x14ac:dyDescent="0.3">
      <c r="A25" s="24">
        <v>503674</v>
      </c>
      <c r="B25" s="25" t="s">
        <v>447</v>
      </c>
      <c r="C25" s="26">
        <v>0.52083333333333337</v>
      </c>
      <c r="D25" s="25" t="s">
        <v>274</v>
      </c>
      <c r="E25" s="25" t="s">
        <v>448</v>
      </c>
      <c r="F25" s="25" t="s">
        <v>430</v>
      </c>
      <c r="G25" s="25" t="s">
        <v>431</v>
      </c>
      <c r="H25" s="25" t="s">
        <v>432</v>
      </c>
      <c r="I25" s="25" t="s">
        <v>433</v>
      </c>
      <c r="J25" s="25" t="s">
        <v>434</v>
      </c>
      <c r="K25" s="23"/>
    </row>
    <row r="26" spans="1:11" ht="32" customHeight="1" thickBot="1" x14ac:dyDescent="0.3">
      <c r="A26" s="24">
        <v>511749</v>
      </c>
      <c r="B26" s="25" t="s">
        <v>447</v>
      </c>
      <c r="C26" s="26">
        <v>0.5625</v>
      </c>
      <c r="D26" s="25" t="s">
        <v>381</v>
      </c>
      <c r="E26" s="25" t="s">
        <v>270</v>
      </c>
      <c r="F26" s="25" t="s">
        <v>435</v>
      </c>
      <c r="G26" s="25" t="s">
        <v>449</v>
      </c>
      <c r="H26" s="25" t="s">
        <v>432</v>
      </c>
      <c r="I26" s="25" t="s">
        <v>433</v>
      </c>
      <c r="J26" s="25" t="s">
        <v>434</v>
      </c>
      <c r="K26" s="23"/>
    </row>
    <row r="27" spans="1:11" ht="32" customHeight="1" thickBot="1" x14ac:dyDescent="0.3">
      <c r="A27" s="24">
        <v>510658</v>
      </c>
      <c r="B27" s="25" t="s">
        <v>447</v>
      </c>
      <c r="C27" s="26">
        <v>0.60416666666666663</v>
      </c>
      <c r="D27" s="25" t="s">
        <v>282</v>
      </c>
      <c r="E27" s="25" t="s">
        <v>450</v>
      </c>
      <c r="F27" s="25" t="s">
        <v>430</v>
      </c>
      <c r="G27" s="25" t="s">
        <v>431</v>
      </c>
      <c r="H27" s="25" t="s">
        <v>432</v>
      </c>
      <c r="I27" s="25" t="s">
        <v>433</v>
      </c>
      <c r="J27" s="25" t="s">
        <v>434</v>
      </c>
      <c r="K27" s="23"/>
    </row>
    <row r="28" spans="1:11" ht="32" customHeight="1" thickBot="1" x14ac:dyDescent="0.3">
      <c r="A28" s="24">
        <v>511980</v>
      </c>
      <c r="B28" s="25" t="s">
        <v>447</v>
      </c>
      <c r="C28" s="26">
        <v>0.83333333333333337</v>
      </c>
      <c r="D28" s="25" t="s">
        <v>358</v>
      </c>
      <c r="E28" s="25" t="s">
        <v>291</v>
      </c>
      <c r="F28" s="25" t="s">
        <v>451</v>
      </c>
      <c r="G28" s="25" t="s">
        <v>452</v>
      </c>
      <c r="H28" s="25" t="s">
        <v>432</v>
      </c>
      <c r="I28" s="25" t="s">
        <v>433</v>
      </c>
      <c r="J28" s="25" t="s">
        <v>434</v>
      </c>
      <c r="K28" s="23"/>
    </row>
    <row r="29" spans="1:11" ht="32" customHeight="1" thickBot="1" x14ac:dyDescent="0.3">
      <c r="A29" s="24">
        <v>507290</v>
      </c>
      <c r="B29" s="25" t="s">
        <v>453</v>
      </c>
      <c r="C29" s="26">
        <v>0.5</v>
      </c>
      <c r="D29" s="25" t="s">
        <v>323</v>
      </c>
      <c r="E29" s="25" t="s">
        <v>292</v>
      </c>
      <c r="F29" s="25" t="s">
        <v>435</v>
      </c>
      <c r="G29" s="25" t="s">
        <v>454</v>
      </c>
      <c r="H29" s="25" t="s">
        <v>432</v>
      </c>
      <c r="I29" s="25" t="s">
        <v>433</v>
      </c>
      <c r="J29" s="25" t="s">
        <v>434</v>
      </c>
      <c r="K29" s="23"/>
    </row>
    <row r="30" spans="1:11" ht="32" customHeight="1" thickBot="1" x14ac:dyDescent="0.3">
      <c r="A30" s="24">
        <v>511744</v>
      </c>
      <c r="B30" s="25" t="s">
        <v>307</v>
      </c>
      <c r="C30" s="26">
        <v>0.47916666666666669</v>
      </c>
      <c r="D30" s="25" t="s">
        <v>270</v>
      </c>
      <c r="E30" s="25" t="s">
        <v>309</v>
      </c>
      <c r="F30" s="25" t="s">
        <v>435</v>
      </c>
      <c r="G30" s="25" t="s">
        <v>431</v>
      </c>
      <c r="H30" s="25" t="s">
        <v>432</v>
      </c>
      <c r="I30" s="25" t="s">
        <v>433</v>
      </c>
      <c r="J30" s="25" t="s">
        <v>434</v>
      </c>
      <c r="K30" s="23"/>
    </row>
    <row r="31" spans="1:11" ht="32" customHeight="1" thickBot="1" x14ac:dyDescent="0.3">
      <c r="A31" s="24">
        <v>512852</v>
      </c>
      <c r="B31" s="25" t="s">
        <v>307</v>
      </c>
      <c r="C31" s="26">
        <v>0.47916666666666669</v>
      </c>
      <c r="D31" s="25" t="s">
        <v>291</v>
      </c>
      <c r="E31" s="25" t="s">
        <v>310</v>
      </c>
      <c r="F31" s="25" t="s">
        <v>430</v>
      </c>
      <c r="G31" s="25" t="s">
        <v>431</v>
      </c>
      <c r="H31" s="25" t="s">
        <v>432</v>
      </c>
      <c r="I31" s="25" t="s">
        <v>433</v>
      </c>
      <c r="J31" s="25" t="s">
        <v>434</v>
      </c>
      <c r="K31" s="23"/>
    </row>
    <row r="32" spans="1:11" ht="31.5" customHeight="1" x14ac:dyDescent="0.25">
      <c r="A32" s="24">
        <v>505366</v>
      </c>
      <c r="B32" s="25" t="s">
        <v>307</v>
      </c>
      <c r="C32" s="26">
        <v>0.5625</v>
      </c>
      <c r="D32" s="25" t="s">
        <v>279</v>
      </c>
      <c r="E32" s="25" t="s">
        <v>312</v>
      </c>
      <c r="F32" s="25" t="s">
        <v>435</v>
      </c>
      <c r="G32" s="25" t="s">
        <v>431</v>
      </c>
      <c r="H32" s="25" t="s">
        <v>432</v>
      </c>
      <c r="I32" s="25" t="s">
        <v>433</v>
      </c>
      <c r="J32" s="25" t="s">
        <v>434</v>
      </c>
      <c r="K32" s="23"/>
    </row>
    <row r="33" spans="1:11" x14ac:dyDescent="0.25">
      <c r="A33" s="21" t="s">
        <v>420</v>
      </c>
      <c r="B33" s="21" t="s">
        <v>421</v>
      </c>
      <c r="C33" s="21" t="s">
        <v>422</v>
      </c>
      <c r="D33" s="21" t="s">
        <v>423</v>
      </c>
      <c r="E33" s="21" t="s">
        <v>424</v>
      </c>
      <c r="F33" s="21" t="s">
        <v>425</v>
      </c>
      <c r="G33" s="65" t="s">
        <v>426</v>
      </c>
      <c r="H33" s="65" t="s">
        <v>427</v>
      </c>
      <c r="I33" s="21" t="s">
        <v>428</v>
      </c>
      <c r="J33" s="67"/>
    </row>
    <row r="34" spans="1:11" ht="21.5" customHeight="1" thickBot="1" x14ac:dyDescent="0.3">
      <c r="A34" s="22" t="s">
        <v>429</v>
      </c>
      <c r="B34" s="22" t="s">
        <v>429</v>
      </c>
      <c r="C34" s="22" t="s">
        <v>429</v>
      </c>
      <c r="D34" s="22" t="s">
        <v>429</v>
      </c>
      <c r="E34" s="22" t="s">
        <v>429</v>
      </c>
      <c r="F34" s="22" t="s">
        <v>429</v>
      </c>
      <c r="G34" s="66"/>
      <c r="H34" s="66"/>
      <c r="I34" s="22" t="s">
        <v>429</v>
      </c>
      <c r="J34" s="66"/>
    </row>
    <row r="35" spans="1:11" ht="32" customHeight="1" thickBot="1" x14ac:dyDescent="0.3">
      <c r="A35" s="24">
        <v>507310</v>
      </c>
      <c r="B35" s="25" t="s">
        <v>307</v>
      </c>
      <c r="C35" s="26">
        <v>0.5625</v>
      </c>
      <c r="D35" s="25" t="s">
        <v>292</v>
      </c>
      <c r="E35" s="25" t="s">
        <v>311</v>
      </c>
      <c r="F35" s="25" t="s">
        <v>430</v>
      </c>
      <c r="G35" s="25" t="s">
        <v>431</v>
      </c>
      <c r="H35" s="25" t="s">
        <v>432</v>
      </c>
      <c r="I35" s="25" t="s">
        <v>433</v>
      </c>
      <c r="J35" s="25" t="s">
        <v>434</v>
      </c>
      <c r="K35" s="23"/>
    </row>
    <row r="36" spans="1:11" ht="21.5" customHeight="1" thickBot="1" x14ac:dyDescent="0.3">
      <c r="A36" s="24">
        <v>508397</v>
      </c>
      <c r="B36" s="25" t="s">
        <v>307</v>
      </c>
      <c r="C36" s="26">
        <v>0.625</v>
      </c>
      <c r="D36" s="25" t="s">
        <v>376</v>
      </c>
      <c r="E36" s="25" t="s">
        <v>303</v>
      </c>
      <c r="F36" s="25" t="s">
        <v>430</v>
      </c>
      <c r="G36" s="25" t="s">
        <v>455</v>
      </c>
      <c r="H36" s="25" t="s">
        <v>432</v>
      </c>
      <c r="I36" s="25" t="s">
        <v>433</v>
      </c>
      <c r="J36" s="25" t="s">
        <v>434</v>
      </c>
      <c r="K36" s="23"/>
    </row>
    <row r="37" spans="1:11" ht="32" customHeight="1" thickBot="1" x14ac:dyDescent="0.3">
      <c r="A37" s="24">
        <v>503705</v>
      </c>
      <c r="B37" s="25" t="s">
        <v>307</v>
      </c>
      <c r="C37" s="26">
        <v>0.64583333333333337</v>
      </c>
      <c r="D37" s="25" t="s">
        <v>274</v>
      </c>
      <c r="E37" s="25" t="s">
        <v>313</v>
      </c>
      <c r="F37" s="25" t="s">
        <v>430</v>
      </c>
      <c r="G37" s="25" t="s">
        <v>431</v>
      </c>
      <c r="H37" s="25" t="s">
        <v>432</v>
      </c>
      <c r="I37" s="25" t="s">
        <v>433</v>
      </c>
      <c r="J37" s="25" t="s">
        <v>434</v>
      </c>
      <c r="K37" s="23"/>
    </row>
    <row r="38" spans="1:11" ht="21.5" customHeight="1" thickBot="1" x14ac:dyDescent="0.3">
      <c r="A38" s="24">
        <v>510682</v>
      </c>
      <c r="B38" s="25" t="s">
        <v>314</v>
      </c>
      <c r="C38" s="26">
        <v>0.46875</v>
      </c>
      <c r="D38" s="25" t="s">
        <v>456</v>
      </c>
      <c r="E38" s="25" t="s">
        <v>282</v>
      </c>
      <c r="F38" s="25" t="s">
        <v>435</v>
      </c>
      <c r="G38" s="25" t="s">
        <v>446</v>
      </c>
      <c r="H38" s="25" t="s">
        <v>432</v>
      </c>
      <c r="I38" s="25" t="s">
        <v>433</v>
      </c>
      <c r="J38" s="25" t="s">
        <v>434</v>
      </c>
      <c r="K38" s="23"/>
    </row>
    <row r="39" spans="1:11" ht="32" customHeight="1" thickBot="1" x14ac:dyDescent="0.3">
      <c r="A39" s="24">
        <v>509499</v>
      </c>
      <c r="B39" s="25" t="s">
        <v>314</v>
      </c>
      <c r="C39" s="26">
        <v>0.60416666666666663</v>
      </c>
      <c r="D39" s="25" t="s">
        <v>286</v>
      </c>
      <c r="E39" s="25" t="s">
        <v>315</v>
      </c>
      <c r="F39" s="25" t="s">
        <v>430</v>
      </c>
      <c r="G39" s="25" t="s">
        <v>431</v>
      </c>
      <c r="H39" s="25" t="s">
        <v>432</v>
      </c>
      <c r="I39" s="25" t="s">
        <v>436</v>
      </c>
      <c r="J39" s="25" t="s">
        <v>457</v>
      </c>
      <c r="K39" s="23"/>
    </row>
    <row r="40" spans="1:11" ht="32" customHeight="1" thickBot="1" x14ac:dyDescent="0.3">
      <c r="A40" s="24">
        <v>508403</v>
      </c>
      <c r="B40" s="25" t="s">
        <v>316</v>
      </c>
      <c r="C40" s="26">
        <v>0.625</v>
      </c>
      <c r="D40" s="25" t="s">
        <v>303</v>
      </c>
      <c r="E40" s="25" t="s">
        <v>318</v>
      </c>
      <c r="F40" s="25" t="s">
        <v>430</v>
      </c>
      <c r="G40" s="25" t="s">
        <v>431</v>
      </c>
      <c r="H40" s="25" t="s">
        <v>432</v>
      </c>
      <c r="I40" s="25" t="s">
        <v>433</v>
      </c>
      <c r="J40" s="25" t="s">
        <v>434</v>
      </c>
      <c r="K40" s="23"/>
    </row>
    <row r="41" spans="1:11" ht="21.5" customHeight="1" thickBot="1" x14ac:dyDescent="0.3">
      <c r="A41" s="24">
        <v>507312</v>
      </c>
      <c r="B41" s="25" t="s">
        <v>316</v>
      </c>
      <c r="C41" s="26">
        <v>0.70833333333333337</v>
      </c>
      <c r="D41" s="25" t="s">
        <v>382</v>
      </c>
      <c r="E41" s="25" t="s">
        <v>291</v>
      </c>
      <c r="F41" s="25" t="s">
        <v>430</v>
      </c>
      <c r="G41" s="25" t="s">
        <v>458</v>
      </c>
      <c r="H41" s="25" t="s">
        <v>432</v>
      </c>
      <c r="I41" s="25" t="s">
        <v>433</v>
      </c>
      <c r="J41" s="25" t="s">
        <v>434</v>
      </c>
      <c r="K41" s="23"/>
    </row>
    <row r="42" spans="1:11" ht="21.5" customHeight="1" thickBot="1" x14ac:dyDescent="0.3">
      <c r="A42" s="24">
        <v>503712</v>
      </c>
      <c r="B42" s="25" t="s">
        <v>316</v>
      </c>
      <c r="C42" s="26">
        <v>0.72916666666666663</v>
      </c>
      <c r="D42" s="25" t="s">
        <v>383</v>
      </c>
      <c r="E42" s="25" t="s">
        <v>274</v>
      </c>
      <c r="F42" s="25" t="s">
        <v>435</v>
      </c>
      <c r="G42" s="25" t="s">
        <v>459</v>
      </c>
      <c r="H42" s="25" t="s">
        <v>432</v>
      </c>
      <c r="I42" s="25" t="s">
        <v>433</v>
      </c>
      <c r="J42" s="25" t="s">
        <v>457</v>
      </c>
      <c r="K42" s="23"/>
    </row>
    <row r="43" spans="1:11" ht="42.5" customHeight="1" thickBot="1" x14ac:dyDescent="0.3">
      <c r="A43" s="24">
        <v>509506</v>
      </c>
      <c r="B43" s="25" t="s">
        <v>316</v>
      </c>
      <c r="C43" s="26">
        <v>0.75</v>
      </c>
      <c r="D43" s="25" t="s">
        <v>385</v>
      </c>
      <c r="E43" s="25" t="s">
        <v>286</v>
      </c>
      <c r="F43" s="25" t="s">
        <v>460</v>
      </c>
      <c r="G43" s="25" t="s">
        <v>461</v>
      </c>
      <c r="H43" s="25" t="s">
        <v>432</v>
      </c>
      <c r="I43" s="25" t="s">
        <v>436</v>
      </c>
      <c r="J43" s="25" t="s">
        <v>434</v>
      </c>
      <c r="K43" s="23"/>
    </row>
    <row r="44" spans="1:11" ht="21.5" customHeight="1" thickBot="1" x14ac:dyDescent="0.3">
      <c r="A44" s="24">
        <v>507311</v>
      </c>
      <c r="B44" s="25" t="s">
        <v>316</v>
      </c>
      <c r="C44" s="26">
        <v>0.84375</v>
      </c>
      <c r="D44" s="25" t="s">
        <v>371</v>
      </c>
      <c r="E44" s="25" t="s">
        <v>292</v>
      </c>
      <c r="F44" s="25" t="s">
        <v>435</v>
      </c>
      <c r="G44" s="25" t="s">
        <v>444</v>
      </c>
      <c r="H44" s="25" t="s">
        <v>432</v>
      </c>
      <c r="I44" s="25" t="s">
        <v>433</v>
      </c>
      <c r="J44" s="25" t="s">
        <v>434</v>
      </c>
      <c r="K44" s="23"/>
    </row>
    <row r="45" spans="1:11" ht="21.5" customHeight="1" thickBot="1" x14ac:dyDescent="0.3">
      <c r="A45" s="24">
        <v>505371</v>
      </c>
      <c r="B45" s="25" t="s">
        <v>462</v>
      </c>
      <c r="C45" s="26">
        <v>0.5625</v>
      </c>
      <c r="D45" s="25" t="s">
        <v>380</v>
      </c>
      <c r="E45" s="25" t="s">
        <v>279</v>
      </c>
      <c r="F45" s="25" t="s">
        <v>435</v>
      </c>
      <c r="G45" s="25" t="s">
        <v>446</v>
      </c>
      <c r="H45" s="25" t="s">
        <v>432</v>
      </c>
      <c r="I45" s="25" t="s">
        <v>433</v>
      </c>
      <c r="J45" s="25" t="s">
        <v>434</v>
      </c>
      <c r="K45" s="23"/>
    </row>
    <row r="46" spans="1:11" ht="32" customHeight="1" thickBot="1" x14ac:dyDescent="0.3">
      <c r="A46" s="24">
        <v>508411</v>
      </c>
      <c r="B46" s="25" t="s">
        <v>463</v>
      </c>
      <c r="C46" s="26">
        <v>0.79166666666666663</v>
      </c>
      <c r="D46" s="25" t="s">
        <v>388</v>
      </c>
      <c r="E46" s="25" t="s">
        <v>303</v>
      </c>
      <c r="F46" s="25" t="s">
        <v>435</v>
      </c>
      <c r="G46" s="25" t="s">
        <v>464</v>
      </c>
      <c r="H46" s="25" t="s">
        <v>432</v>
      </c>
      <c r="I46" s="25" t="s">
        <v>433</v>
      </c>
      <c r="J46" s="25" t="s">
        <v>434</v>
      </c>
      <c r="K46" s="23"/>
    </row>
    <row r="47" spans="1:11" ht="32" customHeight="1" thickBot="1" x14ac:dyDescent="0.3">
      <c r="A47" s="24">
        <v>505378</v>
      </c>
      <c r="B47" s="25" t="s">
        <v>319</v>
      </c>
      <c r="C47" s="25" t="s">
        <v>432</v>
      </c>
      <c r="D47" s="25" t="s">
        <v>279</v>
      </c>
      <c r="E47" s="25" t="s">
        <v>465</v>
      </c>
      <c r="F47" s="25" t="s">
        <v>432</v>
      </c>
      <c r="G47" s="25" t="s">
        <v>431</v>
      </c>
      <c r="H47" s="25" t="s">
        <v>432</v>
      </c>
      <c r="I47" s="25" t="s">
        <v>433</v>
      </c>
      <c r="J47" s="25" t="s">
        <v>457</v>
      </c>
      <c r="K47" s="23"/>
    </row>
    <row r="48" spans="1:11" ht="32" customHeight="1" thickBot="1" x14ac:dyDescent="0.3">
      <c r="A48" s="24">
        <v>516541</v>
      </c>
      <c r="B48" s="25" t="s">
        <v>319</v>
      </c>
      <c r="C48" s="25" t="s">
        <v>432</v>
      </c>
      <c r="D48" s="25" t="s">
        <v>279</v>
      </c>
      <c r="E48" s="25" t="s">
        <v>466</v>
      </c>
      <c r="F48" s="25" t="s">
        <v>432</v>
      </c>
      <c r="G48" s="25" t="s">
        <v>431</v>
      </c>
      <c r="H48" s="25" t="s">
        <v>432</v>
      </c>
      <c r="I48" s="25" t="s">
        <v>433</v>
      </c>
      <c r="J48" s="25" t="s">
        <v>434</v>
      </c>
      <c r="K48" s="23"/>
    </row>
    <row r="49" spans="1:11" ht="32" customHeight="1" thickBot="1" x14ac:dyDescent="0.3">
      <c r="A49" s="24">
        <v>507315</v>
      </c>
      <c r="B49" s="25" t="s">
        <v>319</v>
      </c>
      <c r="C49" s="26">
        <v>0.47916666666666669</v>
      </c>
      <c r="D49" s="25" t="s">
        <v>291</v>
      </c>
      <c r="E49" s="25" t="s">
        <v>323</v>
      </c>
      <c r="F49" s="25" t="s">
        <v>430</v>
      </c>
      <c r="G49" s="25" t="s">
        <v>431</v>
      </c>
      <c r="H49" s="25" t="s">
        <v>432</v>
      </c>
      <c r="I49" s="25" t="s">
        <v>433</v>
      </c>
      <c r="J49" s="25" t="s">
        <v>434</v>
      </c>
      <c r="K49" s="23"/>
    </row>
    <row r="50" spans="1:11" ht="32" customHeight="1" thickBot="1" x14ac:dyDescent="0.3">
      <c r="A50" s="24">
        <v>511756</v>
      </c>
      <c r="B50" s="25" t="s">
        <v>319</v>
      </c>
      <c r="C50" s="26">
        <v>0.47916666666666669</v>
      </c>
      <c r="D50" s="25" t="s">
        <v>270</v>
      </c>
      <c r="E50" s="25" t="s">
        <v>320</v>
      </c>
      <c r="F50" s="25" t="s">
        <v>435</v>
      </c>
      <c r="G50" s="25" t="s">
        <v>431</v>
      </c>
      <c r="H50" s="25" t="s">
        <v>432</v>
      </c>
      <c r="I50" s="25" t="s">
        <v>433</v>
      </c>
      <c r="J50" s="25" t="s">
        <v>434</v>
      </c>
      <c r="K50" s="23"/>
    </row>
    <row r="51" spans="1:11" ht="32" customHeight="1" thickBot="1" x14ac:dyDescent="0.3">
      <c r="A51" s="24">
        <v>503717</v>
      </c>
      <c r="B51" s="25" t="s">
        <v>319</v>
      </c>
      <c r="C51" s="26">
        <v>0.5625</v>
      </c>
      <c r="D51" s="25" t="s">
        <v>274</v>
      </c>
      <c r="E51" s="25" t="s">
        <v>327</v>
      </c>
      <c r="F51" s="25" t="s">
        <v>435</v>
      </c>
      <c r="G51" s="25" t="s">
        <v>431</v>
      </c>
      <c r="H51" s="25" t="s">
        <v>432</v>
      </c>
      <c r="I51" s="25" t="s">
        <v>433</v>
      </c>
      <c r="J51" s="25" t="s">
        <v>434</v>
      </c>
      <c r="K51" s="23"/>
    </row>
    <row r="52" spans="1:11" ht="32" customHeight="1" thickBot="1" x14ac:dyDescent="0.3">
      <c r="A52" s="24">
        <v>507318</v>
      </c>
      <c r="B52" s="25" t="s">
        <v>319</v>
      </c>
      <c r="C52" s="26">
        <v>0.5625</v>
      </c>
      <c r="D52" s="25" t="s">
        <v>292</v>
      </c>
      <c r="E52" s="25" t="s">
        <v>325</v>
      </c>
      <c r="F52" s="25" t="s">
        <v>430</v>
      </c>
      <c r="G52" s="25" t="s">
        <v>431</v>
      </c>
      <c r="H52" s="25" t="s">
        <v>432</v>
      </c>
      <c r="I52" s="25" t="s">
        <v>433</v>
      </c>
      <c r="J52" s="25" t="s">
        <v>434</v>
      </c>
      <c r="K52" s="23"/>
    </row>
    <row r="53" spans="1:11" ht="32" customHeight="1" thickBot="1" x14ac:dyDescent="0.3">
      <c r="A53" s="24">
        <v>509511</v>
      </c>
      <c r="B53" s="25" t="s">
        <v>319</v>
      </c>
      <c r="C53" s="26">
        <v>0.65625</v>
      </c>
      <c r="D53" s="25" t="s">
        <v>286</v>
      </c>
      <c r="E53" s="25" t="s">
        <v>330</v>
      </c>
      <c r="F53" s="25" t="s">
        <v>430</v>
      </c>
      <c r="G53" s="25" t="s">
        <v>431</v>
      </c>
      <c r="H53" s="25" t="s">
        <v>432</v>
      </c>
      <c r="I53" s="25" t="s">
        <v>436</v>
      </c>
      <c r="J53" s="25" t="s">
        <v>434</v>
      </c>
      <c r="K53" s="23"/>
    </row>
    <row r="54" spans="1:11" ht="32" customHeight="1" thickBot="1" x14ac:dyDescent="0.3">
      <c r="A54" s="24">
        <v>510693</v>
      </c>
      <c r="B54" s="25" t="s">
        <v>467</v>
      </c>
      <c r="C54" s="26">
        <v>0.60416666666666663</v>
      </c>
      <c r="D54" s="25" t="s">
        <v>387</v>
      </c>
      <c r="E54" s="25" t="s">
        <v>282</v>
      </c>
      <c r="F54" s="25" t="s">
        <v>435</v>
      </c>
      <c r="G54" s="25" t="s">
        <v>468</v>
      </c>
      <c r="H54" s="25" t="s">
        <v>432</v>
      </c>
      <c r="I54" s="25" t="s">
        <v>433</v>
      </c>
      <c r="J54" s="25" t="s">
        <v>434</v>
      </c>
      <c r="K54" s="23"/>
    </row>
    <row r="55" spans="1:11" ht="21.5" customHeight="1" thickBot="1" x14ac:dyDescent="0.3">
      <c r="A55" s="24">
        <v>512855</v>
      </c>
      <c r="B55" s="25" t="s">
        <v>469</v>
      </c>
      <c r="C55" s="26">
        <v>0.85416666666666663</v>
      </c>
      <c r="D55" s="25" t="s">
        <v>310</v>
      </c>
      <c r="E55" s="25" t="s">
        <v>292</v>
      </c>
      <c r="F55" s="25" t="s">
        <v>435</v>
      </c>
      <c r="G55" s="25" t="s">
        <v>442</v>
      </c>
      <c r="H55" s="25" t="s">
        <v>432</v>
      </c>
      <c r="I55" s="25" t="s">
        <v>433</v>
      </c>
      <c r="J55" s="25" t="s">
        <v>434</v>
      </c>
      <c r="K55" s="23"/>
    </row>
    <row r="56" spans="1:11" ht="32" customHeight="1" thickBot="1" x14ac:dyDescent="0.3">
      <c r="A56" s="24">
        <v>511906</v>
      </c>
      <c r="B56" s="25" t="s">
        <v>470</v>
      </c>
      <c r="C56" s="26">
        <v>0.79166666666666663</v>
      </c>
      <c r="D56" s="25" t="s">
        <v>355</v>
      </c>
      <c r="E56" s="25" t="s">
        <v>279</v>
      </c>
      <c r="F56" s="25" t="s">
        <v>430</v>
      </c>
      <c r="G56" s="25" t="s">
        <v>464</v>
      </c>
      <c r="H56" s="25" t="s">
        <v>432</v>
      </c>
      <c r="I56" s="25" t="s">
        <v>433</v>
      </c>
      <c r="J56" s="25" t="s">
        <v>434</v>
      </c>
      <c r="K56" s="23"/>
    </row>
    <row r="57" spans="1:11" ht="32" customHeight="1" thickBot="1" x14ac:dyDescent="0.3">
      <c r="A57" s="24">
        <v>505384</v>
      </c>
      <c r="B57" s="25" t="s">
        <v>333</v>
      </c>
      <c r="C57" s="26">
        <v>0.60416666666666663</v>
      </c>
      <c r="D57" s="25" t="s">
        <v>391</v>
      </c>
      <c r="E57" s="25" t="s">
        <v>279</v>
      </c>
      <c r="F57" s="25" t="s">
        <v>435</v>
      </c>
      <c r="G57" s="25" t="s">
        <v>471</v>
      </c>
      <c r="H57" s="25" t="s">
        <v>432</v>
      </c>
      <c r="I57" s="25" t="s">
        <v>433</v>
      </c>
      <c r="J57" s="25" t="s">
        <v>457</v>
      </c>
      <c r="K57" s="23"/>
    </row>
    <row r="58" spans="1:11" ht="32" customHeight="1" thickBot="1" x14ac:dyDescent="0.3">
      <c r="A58" s="24">
        <v>509519</v>
      </c>
      <c r="B58" s="25" t="s">
        <v>333</v>
      </c>
      <c r="C58" s="26">
        <v>0.64583333333333337</v>
      </c>
      <c r="D58" s="25" t="s">
        <v>393</v>
      </c>
      <c r="E58" s="25" t="s">
        <v>286</v>
      </c>
      <c r="F58" s="25" t="s">
        <v>435</v>
      </c>
      <c r="G58" s="25" t="s">
        <v>472</v>
      </c>
      <c r="H58" s="25" t="s">
        <v>432</v>
      </c>
      <c r="I58" s="25" t="s">
        <v>436</v>
      </c>
      <c r="J58" s="25" t="s">
        <v>434</v>
      </c>
      <c r="K58" s="23"/>
    </row>
    <row r="59" spans="1:11" ht="32" customHeight="1" thickBot="1" x14ac:dyDescent="0.3">
      <c r="A59" s="24">
        <v>508414</v>
      </c>
      <c r="B59" s="25" t="s">
        <v>333</v>
      </c>
      <c r="C59" s="26">
        <v>0.6875</v>
      </c>
      <c r="D59" s="25" t="s">
        <v>303</v>
      </c>
      <c r="E59" s="25" t="s">
        <v>335</v>
      </c>
      <c r="F59" s="25" t="s">
        <v>430</v>
      </c>
      <c r="G59" s="25" t="s">
        <v>431</v>
      </c>
      <c r="H59" s="25" t="s">
        <v>432</v>
      </c>
      <c r="I59" s="25" t="s">
        <v>433</v>
      </c>
      <c r="J59" s="25" t="s">
        <v>434</v>
      </c>
      <c r="K59" s="23"/>
    </row>
    <row r="60" spans="1:11" ht="32" customHeight="1" thickBot="1" x14ac:dyDescent="0.3">
      <c r="A60" s="24">
        <v>510696</v>
      </c>
      <c r="B60" s="25" t="s">
        <v>333</v>
      </c>
      <c r="C60" s="26">
        <v>0.77083333333333337</v>
      </c>
      <c r="D60" s="25" t="s">
        <v>282</v>
      </c>
      <c r="E60" s="25" t="s">
        <v>473</v>
      </c>
      <c r="F60" s="25" t="s">
        <v>430</v>
      </c>
      <c r="G60" s="25" t="s">
        <v>431</v>
      </c>
      <c r="H60" s="25" t="s">
        <v>432</v>
      </c>
      <c r="I60" s="25" t="s">
        <v>433</v>
      </c>
      <c r="J60" s="25" t="s">
        <v>457</v>
      </c>
      <c r="K60" s="23"/>
    </row>
    <row r="61" spans="1:11" ht="21.5" customHeight="1" thickBot="1" x14ac:dyDescent="0.3">
      <c r="A61" s="24">
        <v>507321</v>
      </c>
      <c r="B61" s="25" t="s">
        <v>474</v>
      </c>
      <c r="C61" s="26">
        <v>0.625</v>
      </c>
      <c r="D61" s="25" t="s">
        <v>298</v>
      </c>
      <c r="E61" s="25" t="s">
        <v>291</v>
      </c>
      <c r="F61" s="25" t="s">
        <v>430</v>
      </c>
      <c r="G61" s="25" t="s">
        <v>475</v>
      </c>
      <c r="H61" s="25" t="s">
        <v>432</v>
      </c>
      <c r="I61" s="25" t="s">
        <v>433</v>
      </c>
      <c r="J61" s="25" t="s">
        <v>434</v>
      </c>
      <c r="K61" s="23"/>
    </row>
    <row r="62" spans="1:11" ht="32" customHeight="1" thickBot="1" x14ac:dyDescent="0.3">
      <c r="A62" s="24">
        <v>503725</v>
      </c>
      <c r="B62" s="25" t="s">
        <v>474</v>
      </c>
      <c r="C62" s="26">
        <v>0.71875</v>
      </c>
      <c r="D62" s="25" t="s">
        <v>392</v>
      </c>
      <c r="E62" s="25" t="s">
        <v>274</v>
      </c>
      <c r="F62" s="25" t="s">
        <v>430</v>
      </c>
      <c r="G62" s="25" t="s">
        <v>471</v>
      </c>
      <c r="H62" s="25" t="s">
        <v>432</v>
      </c>
      <c r="I62" s="25" t="s">
        <v>433</v>
      </c>
      <c r="J62" s="25" t="s">
        <v>434</v>
      </c>
      <c r="K62" s="23"/>
    </row>
    <row r="63" spans="1:11" ht="21.5" customHeight="1" thickBot="1" x14ac:dyDescent="0.3">
      <c r="A63" s="24">
        <v>511762</v>
      </c>
      <c r="B63" s="25" t="s">
        <v>474</v>
      </c>
      <c r="C63" s="26">
        <v>0.76041666666666663</v>
      </c>
      <c r="D63" s="25" t="s">
        <v>390</v>
      </c>
      <c r="E63" s="25" t="s">
        <v>270</v>
      </c>
      <c r="F63" s="25" t="s">
        <v>476</v>
      </c>
      <c r="G63" s="25" t="s">
        <v>477</v>
      </c>
      <c r="H63" s="25" t="s">
        <v>432</v>
      </c>
      <c r="I63" s="25" t="s">
        <v>433</v>
      </c>
      <c r="J63" s="25" t="s">
        <v>434</v>
      </c>
      <c r="K63" s="23"/>
    </row>
    <row r="64" spans="1:11" ht="42" customHeight="1" x14ac:dyDescent="0.25">
      <c r="A64" s="24">
        <v>509523</v>
      </c>
      <c r="B64" s="25" t="s">
        <v>340</v>
      </c>
      <c r="C64" s="25" t="s">
        <v>432</v>
      </c>
      <c r="D64" s="25" t="s">
        <v>286</v>
      </c>
      <c r="E64" s="25" t="s">
        <v>478</v>
      </c>
      <c r="F64" s="25" t="s">
        <v>430</v>
      </c>
      <c r="G64" s="25" t="s">
        <v>431</v>
      </c>
      <c r="H64" s="25" t="s">
        <v>432</v>
      </c>
      <c r="I64" s="25" t="s">
        <v>436</v>
      </c>
      <c r="J64" s="25" t="s">
        <v>457</v>
      </c>
      <c r="K64" s="23"/>
    </row>
    <row r="65" spans="1:11" x14ac:dyDescent="0.25">
      <c r="A65" s="21" t="s">
        <v>420</v>
      </c>
      <c r="B65" s="21" t="s">
        <v>421</v>
      </c>
      <c r="C65" s="21" t="s">
        <v>422</v>
      </c>
      <c r="D65" s="21" t="s">
        <v>423</v>
      </c>
      <c r="E65" s="21" t="s">
        <v>424</v>
      </c>
      <c r="F65" s="21" t="s">
        <v>425</v>
      </c>
      <c r="G65" s="65" t="s">
        <v>426</v>
      </c>
      <c r="H65" s="65" t="s">
        <v>427</v>
      </c>
      <c r="I65" s="21" t="s">
        <v>428</v>
      </c>
      <c r="J65" s="67"/>
    </row>
    <row r="66" spans="1:11" ht="21.5" customHeight="1" thickBot="1" x14ac:dyDescent="0.3">
      <c r="A66" s="22" t="s">
        <v>429</v>
      </c>
      <c r="B66" s="22" t="s">
        <v>429</v>
      </c>
      <c r="C66" s="22" t="s">
        <v>429</v>
      </c>
      <c r="D66" s="22" t="s">
        <v>429</v>
      </c>
      <c r="E66" s="22" t="s">
        <v>429</v>
      </c>
      <c r="F66" s="22" t="s">
        <v>429</v>
      </c>
      <c r="G66" s="66"/>
      <c r="H66" s="66"/>
      <c r="I66" s="22" t="s">
        <v>429</v>
      </c>
      <c r="J66" s="66"/>
    </row>
    <row r="67" spans="1:11" ht="32" customHeight="1" thickBot="1" x14ac:dyDescent="0.3">
      <c r="A67" s="24">
        <v>511768</v>
      </c>
      <c r="B67" s="25" t="s">
        <v>340</v>
      </c>
      <c r="C67" s="25" t="s">
        <v>432</v>
      </c>
      <c r="D67" s="25" t="s">
        <v>270</v>
      </c>
      <c r="E67" s="25" t="s">
        <v>479</v>
      </c>
      <c r="F67" s="25" t="s">
        <v>435</v>
      </c>
      <c r="G67" s="25" t="s">
        <v>431</v>
      </c>
      <c r="H67" s="25" t="s">
        <v>432</v>
      </c>
      <c r="I67" s="25" t="s">
        <v>433</v>
      </c>
      <c r="J67" s="25" t="s">
        <v>457</v>
      </c>
      <c r="K67" s="23"/>
    </row>
    <row r="68" spans="1:11" ht="32" customHeight="1" thickBot="1" x14ac:dyDescent="0.3">
      <c r="A68" s="24">
        <v>507326</v>
      </c>
      <c r="B68" s="25" t="s">
        <v>340</v>
      </c>
      <c r="C68" s="26">
        <v>0.58333333333333337</v>
      </c>
      <c r="D68" s="25" t="s">
        <v>292</v>
      </c>
      <c r="E68" s="25" t="s">
        <v>352</v>
      </c>
      <c r="F68" s="25" t="s">
        <v>430</v>
      </c>
      <c r="G68" s="25" t="s">
        <v>431</v>
      </c>
      <c r="H68" s="25" t="s">
        <v>432</v>
      </c>
      <c r="I68" s="25" t="s">
        <v>433</v>
      </c>
      <c r="J68" s="25" t="s">
        <v>434</v>
      </c>
      <c r="K68" s="23"/>
    </row>
    <row r="69" spans="1:11" ht="32" customHeight="1" thickBot="1" x14ac:dyDescent="0.3">
      <c r="A69" s="24">
        <v>508424</v>
      </c>
      <c r="B69" s="25" t="s">
        <v>340</v>
      </c>
      <c r="C69" s="26">
        <v>0.58333333333333337</v>
      </c>
      <c r="D69" s="25" t="s">
        <v>303</v>
      </c>
      <c r="E69" s="25" t="s">
        <v>345</v>
      </c>
      <c r="F69" s="25" t="s">
        <v>435</v>
      </c>
      <c r="G69" s="25" t="s">
        <v>431</v>
      </c>
      <c r="H69" s="25" t="s">
        <v>432</v>
      </c>
      <c r="I69" s="25" t="s">
        <v>433</v>
      </c>
      <c r="J69" s="25" t="s">
        <v>434</v>
      </c>
      <c r="K69" s="23"/>
    </row>
    <row r="70" spans="1:11" ht="32" customHeight="1" thickBot="1" x14ac:dyDescent="0.3">
      <c r="A70" s="24">
        <v>503729</v>
      </c>
      <c r="B70" s="25" t="s">
        <v>340</v>
      </c>
      <c r="C70" s="26">
        <v>0.66666666666666663</v>
      </c>
      <c r="D70" s="25" t="s">
        <v>274</v>
      </c>
      <c r="E70" s="25" t="s">
        <v>348</v>
      </c>
      <c r="F70" s="25" t="s">
        <v>430</v>
      </c>
      <c r="G70" s="25" t="s">
        <v>431</v>
      </c>
      <c r="H70" s="25" t="s">
        <v>432</v>
      </c>
      <c r="I70" s="25" t="s">
        <v>433</v>
      </c>
      <c r="J70" s="25" t="s">
        <v>434</v>
      </c>
      <c r="K70" s="23"/>
    </row>
    <row r="71" spans="1:11" ht="32" customHeight="1" thickBot="1" x14ac:dyDescent="0.3">
      <c r="A71" s="24">
        <v>510704</v>
      </c>
      <c r="B71" s="25" t="s">
        <v>340</v>
      </c>
      <c r="C71" s="26">
        <v>0.66666666666666663</v>
      </c>
      <c r="D71" s="25" t="s">
        <v>282</v>
      </c>
      <c r="E71" s="25" t="s">
        <v>350</v>
      </c>
      <c r="F71" s="25" t="s">
        <v>435</v>
      </c>
      <c r="G71" s="25" t="s">
        <v>431</v>
      </c>
      <c r="H71" s="25" t="s">
        <v>432</v>
      </c>
      <c r="I71" s="25" t="s">
        <v>433</v>
      </c>
      <c r="J71" s="25" t="s">
        <v>434</v>
      </c>
      <c r="K71" s="23"/>
    </row>
    <row r="72" spans="1:11" ht="32" customHeight="1" thickBot="1" x14ac:dyDescent="0.3">
      <c r="A72" s="24">
        <v>514112</v>
      </c>
      <c r="B72" s="25" t="s">
        <v>351</v>
      </c>
      <c r="C72" s="26">
        <v>0.4375</v>
      </c>
      <c r="D72" s="25" t="s">
        <v>270</v>
      </c>
      <c r="E72" s="25" t="s">
        <v>480</v>
      </c>
      <c r="F72" s="25" t="s">
        <v>430</v>
      </c>
      <c r="G72" s="25" t="s">
        <v>431</v>
      </c>
      <c r="H72" s="25" t="s">
        <v>432</v>
      </c>
      <c r="I72" s="25" t="s">
        <v>433</v>
      </c>
      <c r="J72" s="25" t="s">
        <v>434</v>
      </c>
      <c r="K72" s="23"/>
    </row>
    <row r="73" spans="1:11" ht="32" customHeight="1" thickBot="1" x14ac:dyDescent="0.3">
      <c r="A73" s="24">
        <v>505390</v>
      </c>
      <c r="B73" s="25" t="s">
        <v>351</v>
      </c>
      <c r="C73" s="26">
        <v>0.52083333333333337</v>
      </c>
      <c r="D73" s="25" t="s">
        <v>279</v>
      </c>
      <c r="E73" s="25" t="s">
        <v>342</v>
      </c>
      <c r="F73" s="25" t="s">
        <v>435</v>
      </c>
      <c r="G73" s="25" t="s">
        <v>431</v>
      </c>
      <c r="H73" s="25" t="s">
        <v>432</v>
      </c>
      <c r="I73" s="25" t="s">
        <v>433</v>
      </c>
      <c r="J73" s="25" t="s">
        <v>434</v>
      </c>
      <c r="K73" s="23"/>
    </row>
    <row r="74" spans="1:11" ht="32" customHeight="1" thickBot="1" x14ac:dyDescent="0.3">
      <c r="A74" s="24">
        <v>507323</v>
      </c>
      <c r="B74" s="25" t="s">
        <v>351</v>
      </c>
      <c r="C74" s="26">
        <v>0.52083333333333337</v>
      </c>
      <c r="D74" s="25" t="s">
        <v>291</v>
      </c>
      <c r="E74" s="25" t="s">
        <v>311</v>
      </c>
      <c r="F74" s="25" t="s">
        <v>430</v>
      </c>
      <c r="G74" s="25" t="s">
        <v>431</v>
      </c>
      <c r="H74" s="25" t="s">
        <v>432</v>
      </c>
      <c r="I74" s="25" t="s">
        <v>433</v>
      </c>
      <c r="J74" s="25" t="s">
        <v>434</v>
      </c>
      <c r="K74" s="23"/>
    </row>
    <row r="75" spans="1:11" ht="32" customHeight="1" thickBot="1" x14ac:dyDescent="0.3">
      <c r="A75" s="24">
        <v>512454</v>
      </c>
      <c r="B75" s="25" t="s">
        <v>351</v>
      </c>
      <c r="C75" s="26">
        <v>0.61458333333333337</v>
      </c>
      <c r="D75" s="25" t="s">
        <v>286</v>
      </c>
      <c r="E75" s="25" t="s">
        <v>353</v>
      </c>
      <c r="F75" s="25" t="s">
        <v>430</v>
      </c>
      <c r="G75" s="25" t="s">
        <v>431</v>
      </c>
      <c r="H75" s="25" t="s">
        <v>432</v>
      </c>
      <c r="I75" s="25" t="s">
        <v>436</v>
      </c>
      <c r="J75" s="25" t="s">
        <v>434</v>
      </c>
      <c r="K75" s="23"/>
    </row>
    <row r="76" spans="1:11" ht="32" customHeight="1" thickBot="1" x14ac:dyDescent="0.3">
      <c r="A76" s="24">
        <v>503738</v>
      </c>
      <c r="B76" s="25" t="s">
        <v>481</v>
      </c>
      <c r="C76" s="26">
        <v>0.875</v>
      </c>
      <c r="D76" s="25" t="s">
        <v>395</v>
      </c>
      <c r="E76" s="25" t="s">
        <v>274</v>
      </c>
      <c r="F76" s="25" t="s">
        <v>435</v>
      </c>
      <c r="G76" s="25" t="s">
        <v>464</v>
      </c>
      <c r="H76" s="25" t="s">
        <v>432</v>
      </c>
      <c r="I76" s="25" t="s">
        <v>433</v>
      </c>
      <c r="J76" s="25" t="s">
        <v>434</v>
      </c>
      <c r="K76" s="23"/>
    </row>
    <row r="77" spans="1:11" ht="32" customHeight="1" thickBot="1" x14ac:dyDescent="0.3">
      <c r="A77" s="24">
        <v>509468</v>
      </c>
      <c r="B77" s="25" t="s">
        <v>482</v>
      </c>
      <c r="C77" s="26">
        <v>0.63541666666666663</v>
      </c>
      <c r="D77" s="25" t="s">
        <v>286</v>
      </c>
      <c r="E77" s="25" t="s">
        <v>483</v>
      </c>
      <c r="F77" s="25" t="s">
        <v>435</v>
      </c>
      <c r="G77" s="25" t="s">
        <v>431</v>
      </c>
      <c r="H77" s="25" t="s">
        <v>432</v>
      </c>
      <c r="I77" s="25" t="s">
        <v>436</v>
      </c>
      <c r="J77" s="25" t="s">
        <v>434</v>
      </c>
      <c r="K77" s="23"/>
    </row>
    <row r="78" spans="1:11" ht="32" customHeight="1" thickBot="1" x14ac:dyDescent="0.3">
      <c r="A78" s="24">
        <v>508427</v>
      </c>
      <c r="B78" s="25" t="s">
        <v>484</v>
      </c>
      <c r="C78" s="26">
        <v>0.875</v>
      </c>
      <c r="D78" s="25" t="s">
        <v>396</v>
      </c>
      <c r="E78" s="25" t="s">
        <v>303</v>
      </c>
      <c r="F78" s="25" t="s">
        <v>432</v>
      </c>
      <c r="G78" s="25" t="s">
        <v>485</v>
      </c>
      <c r="H78" s="25" t="s">
        <v>432</v>
      </c>
      <c r="I78" s="25" t="s">
        <v>433</v>
      </c>
      <c r="J78" s="25" t="s">
        <v>434</v>
      </c>
      <c r="K78" s="23"/>
    </row>
    <row r="79" spans="1:11" ht="21.5" customHeight="1" thickBot="1" x14ac:dyDescent="0.3">
      <c r="A79" s="24">
        <v>507327</v>
      </c>
      <c r="B79" s="25" t="s">
        <v>486</v>
      </c>
      <c r="C79" s="26">
        <v>0.70833333333333337</v>
      </c>
      <c r="D79" s="25" t="s">
        <v>382</v>
      </c>
      <c r="E79" s="25" t="s">
        <v>292</v>
      </c>
      <c r="F79" s="25" t="s">
        <v>430</v>
      </c>
      <c r="G79" s="25" t="s">
        <v>458</v>
      </c>
      <c r="H79" s="25" t="s">
        <v>432</v>
      </c>
      <c r="I79" s="25" t="s">
        <v>433</v>
      </c>
      <c r="J79" s="25" t="s">
        <v>434</v>
      </c>
      <c r="K79" s="23"/>
    </row>
    <row r="80" spans="1:11" ht="32" customHeight="1" thickBot="1" x14ac:dyDescent="0.3">
      <c r="A80" s="24">
        <v>510707</v>
      </c>
      <c r="B80" s="25" t="s">
        <v>487</v>
      </c>
      <c r="C80" s="26">
        <v>0.5625</v>
      </c>
      <c r="D80" s="25" t="s">
        <v>400</v>
      </c>
      <c r="E80" s="25" t="s">
        <v>282</v>
      </c>
      <c r="F80" s="25" t="s">
        <v>435</v>
      </c>
      <c r="G80" s="25" t="s">
        <v>454</v>
      </c>
      <c r="H80" s="25" t="s">
        <v>432</v>
      </c>
      <c r="I80" s="25" t="s">
        <v>433</v>
      </c>
      <c r="J80" s="25" t="s">
        <v>434</v>
      </c>
      <c r="K80" s="23"/>
    </row>
    <row r="81" spans="1:11" ht="32" customHeight="1" thickBot="1" x14ac:dyDescent="0.3">
      <c r="A81" s="24">
        <v>511775</v>
      </c>
      <c r="B81" s="25" t="s">
        <v>487</v>
      </c>
      <c r="C81" s="26">
        <v>0.60416666666666663</v>
      </c>
      <c r="D81" s="25" t="s">
        <v>398</v>
      </c>
      <c r="E81" s="25" t="s">
        <v>270</v>
      </c>
      <c r="F81" s="25" t="s">
        <v>435</v>
      </c>
      <c r="G81" s="25" t="s">
        <v>488</v>
      </c>
      <c r="H81" s="25" t="s">
        <v>432</v>
      </c>
      <c r="I81" s="25" t="s">
        <v>433</v>
      </c>
      <c r="J81" s="25" t="s">
        <v>434</v>
      </c>
      <c r="K81" s="23"/>
    </row>
    <row r="82" spans="1:11" ht="21.5" customHeight="1" thickBot="1" x14ac:dyDescent="0.3">
      <c r="A82" s="24">
        <v>509532</v>
      </c>
      <c r="B82" s="25" t="s">
        <v>487</v>
      </c>
      <c r="C82" s="26">
        <v>0.625</v>
      </c>
      <c r="D82" s="25" t="s">
        <v>401</v>
      </c>
      <c r="E82" s="25" t="s">
        <v>286</v>
      </c>
      <c r="F82" s="25" t="s">
        <v>489</v>
      </c>
      <c r="G82" s="25" t="s">
        <v>490</v>
      </c>
      <c r="H82" s="25" t="s">
        <v>432</v>
      </c>
      <c r="I82" s="25" t="s">
        <v>436</v>
      </c>
      <c r="J82" s="25" t="s">
        <v>434</v>
      </c>
      <c r="K82" s="23"/>
    </row>
    <row r="83" spans="1:11" ht="21.5" customHeight="1" thickBot="1" x14ac:dyDescent="0.3">
      <c r="A83" s="24">
        <v>505397</v>
      </c>
      <c r="B83" s="25" t="s">
        <v>487</v>
      </c>
      <c r="C83" s="26">
        <v>0.66666666666666663</v>
      </c>
      <c r="D83" s="25" t="s">
        <v>397</v>
      </c>
      <c r="E83" s="25" t="s">
        <v>279</v>
      </c>
      <c r="F83" s="25" t="s">
        <v>435</v>
      </c>
      <c r="G83" s="25" t="s">
        <v>491</v>
      </c>
      <c r="H83" s="25" t="s">
        <v>432</v>
      </c>
      <c r="I83" s="25" t="s">
        <v>433</v>
      </c>
      <c r="J83" s="25" t="s">
        <v>434</v>
      </c>
      <c r="K83" s="23"/>
    </row>
    <row r="84" spans="1:11" ht="21.5" customHeight="1" thickBot="1" x14ac:dyDescent="0.3">
      <c r="A84" s="24">
        <v>507330</v>
      </c>
      <c r="B84" s="25" t="s">
        <v>487</v>
      </c>
      <c r="C84" s="26">
        <v>0.8125</v>
      </c>
      <c r="D84" s="25" t="s">
        <v>325</v>
      </c>
      <c r="E84" s="25" t="s">
        <v>291</v>
      </c>
      <c r="F84" s="25" t="s">
        <v>435</v>
      </c>
      <c r="G84" s="25" t="s">
        <v>492</v>
      </c>
      <c r="H84" s="25" t="s">
        <v>432</v>
      </c>
      <c r="I84" s="25" t="s">
        <v>433</v>
      </c>
      <c r="J84" s="25" t="s">
        <v>434</v>
      </c>
      <c r="K84" s="23"/>
    </row>
    <row r="85" spans="1:11" ht="32" customHeight="1" thickBot="1" x14ac:dyDescent="0.3">
      <c r="A85" s="24">
        <v>508434</v>
      </c>
      <c r="B85" s="25" t="s">
        <v>493</v>
      </c>
      <c r="C85" s="26">
        <v>0</v>
      </c>
      <c r="D85" s="25" t="s">
        <v>494</v>
      </c>
      <c r="E85" s="25" t="s">
        <v>303</v>
      </c>
      <c r="F85" s="25" t="s">
        <v>435</v>
      </c>
      <c r="G85" s="25" t="s">
        <v>495</v>
      </c>
      <c r="H85" s="25" t="s">
        <v>432</v>
      </c>
      <c r="I85" s="25" t="s">
        <v>433</v>
      </c>
      <c r="J85" s="25" t="s">
        <v>434</v>
      </c>
      <c r="K85" s="23"/>
    </row>
    <row r="86" spans="1:11" ht="21.5" customHeight="1" thickBot="1" x14ac:dyDescent="0.3">
      <c r="A86" s="24">
        <v>503745</v>
      </c>
      <c r="B86" s="25" t="s">
        <v>493</v>
      </c>
      <c r="C86" s="26">
        <v>0.55208333333333337</v>
      </c>
      <c r="D86" s="25" t="s">
        <v>448</v>
      </c>
      <c r="E86" s="25" t="s">
        <v>274</v>
      </c>
      <c r="F86" s="25" t="s">
        <v>435</v>
      </c>
      <c r="G86" s="25" t="s">
        <v>496</v>
      </c>
      <c r="H86" s="25" t="s">
        <v>432</v>
      </c>
      <c r="I86" s="25" t="s">
        <v>433</v>
      </c>
      <c r="J86" s="25" t="s">
        <v>434</v>
      </c>
      <c r="K86" s="23"/>
    </row>
    <row r="87" spans="1:11" ht="21.5" customHeight="1" thickBot="1" x14ac:dyDescent="0.3">
      <c r="A87" s="24">
        <v>510713</v>
      </c>
      <c r="B87" s="25" t="s">
        <v>493</v>
      </c>
      <c r="C87" s="26">
        <v>0.80208333333333337</v>
      </c>
      <c r="D87" s="25" t="s">
        <v>450</v>
      </c>
      <c r="E87" s="25" t="s">
        <v>282</v>
      </c>
      <c r="F87" s="25" t="s">
        <v>435</v>
      </c>
      <c r="G87" s="25" t="s">
        <v>497</v>
      </c>
      <c r="H87" s="25" t="s">
        <v>432</v>
      </c>
      <c r="I87" s="25" t="s">
        <v>433</v>
      </c>
      <c r="J87" s="25" t="s">
        <v>434</v>
      </c>
      <c r="K87" s="23"/>
    </row>
    <row r="88" spans="1:11" ht="32" customHeight="1" thickBot="1" x14ac:dyDescent="0.3">
      <c r="A88" s="24">
        <v>511989</v>
      </c>
      <c r="B88" s="25" t="s">
        <v>493</v>
      </c>
      <c r="C88" s="26">
        <v>0.83333333333333337</v>
      </c>
      <c r="D88" s="25" t="s">
        <v>358</v>
      </c>
      <c r="E88" s="25" t="s">
        <v>292</v>
      </c>
      <c r="F88" s="25" t="s">
        <v>451</v>
      </c>
      <c r="G88" s="25" t="s">
        <v>452</v>
      </c>
      <c r="H88" s="25" t="s">
        <v>432</v>
      </c>
      <c r="I88" s="25" t="s">
        <v>433</v>
      </c>
      <c r="J88" s="25" t="s">
        <v>434</v>
      </c>
      <c r="K88" s="23"/>
    </row>
    <row r="89" spans="1:11" ht="21.5" customHeight="1" thickBot="1" x14ac:dyDescent="0.3">
      <c r="A89" s="24">
        <v>511782</v>
      </c>
      <c r="B89" s="25" t="s">
        <v>498</v>
      </c>
      <c r="C89" s="26">
        <v>0.60416666666666663</v>
      </c>
      <c r="D89" s="25" t="s">
        <v>499</v>
      </c>
      <c r="E89" s="25" t="s">
        <v>270</v>
      </c>
      <c r="F89" s="25" t="s">
        <v>435</v>
      </c>
      <c r="G89" s="25" t="s">
        <v>492</v>
      </c>
      <c r="H89" s="25" t="s">
        <v>432</v>
      </c>
      <c r="I89" s="25" t="s">
        <v>433</v>
      </c>
      <c r="J89" s="25" t="s">
        <v>434</v>
      </c>
      <c r="K89" s="23"/>
    </row>
    <row r="90" spans="1:11" ht="21.5" customHeight="1" thickBot="1" x14ac:dyDescent="0.3">
      <c r="A90" s="24">
        <v>507334</v>
      </c>
      <c r="B90" s="25" t="s">
        <v>498</v>
      </c>
      <c r="C90" s="26">
        <v>0.66666666666666663</v>
      </c>
      <c r="D90" s="25" t="s">
        <v>352</v>
      </c>
      <c r="E90" s="25" t="s">
        <v>291</v>
      </c>
      <c r="F90" s="25" t="s">
        <v>432</v>
      </c>
      <c r="G90" s="25" t="s">
        <v>449</v>
      </c>
      <c r="H90" s="25" t="s">
        <v>432</v>
      </c>
      <c r="I90" s="25" t="s">
        <v>433</v>
      </c>
      <c r="J90" s="25" t="s">
        <v>434</v>
      </c>
      <c r="K90" s="23"/>
    </row>
    <row r="91" spans="1:11" ht="32" customHeight="1" thickBot="1" x14ac:dyDescent="0.3">
      <c r="A91" s="24">
        <v>509539</v>
      </c>
      <c r="B91" s="25" t="s">
        <v>498</v>
      </c>
      <c r="C91" s="26">
        <v>0.67361111111111116</v>
      </c>
      <c r="D91" s="25" t="s">
        <v>483</v>
      </c>
      <c r="E91" s="25" t="s">
        <v>286</v>
      </c>
      <c r="F91" s="25" t="s">
        <v>435</v>
      </c>
      <c r="G91" s="25" t="s">
        <v>442</v>
      </c>
      <c r="H91" s="25" t="s">
        <v>432</v>
      </c>
      <c r="I91" s="25" t="s">
        <v>436</v>
      </c>
      <c r="J91" s="25" t="s">
        <v>434</v>
      </c>
      <c r="K91" s="23"/>
    </row>
    <row r="92" spans="1:11" ht="32" customHeight="1" thickBot="1" x14ac:dyDescent="0.3">
      <c r="A92" s="24">
        <v>511785</v>
      </c>
      <c r="B92" s="25" t="s">
        <v>354</v>
      </c>
      <c r="C92" s="26">
        <v>0.47916666666666669</v>
      </c>
      <c r="D92" s="25" t="s">
        <v>270</v>
      </c>
      <c r="E92" s="25" t="s">
        <v>356</v>
      </c>
      <c r="F92" s="25" t="s">
        <v>435</v>
      </c>
      <c r="G92" s="25" t="s">
        <v>431</v>
      </c>
      <c r="H92" s="25" t="s">
        <v>432</v>
      </c>
      <c r="I92" s="25" t="s">
        <v>433</v>
      </c>
      <c r="J92" s="25" t="s">
        <v>434</v>
      </c>
      <c r="K92" s="23"/>
    </row>
    <row r="93" spans="1:11" ht="32" customHeight="1" thickBot="1" x14ac:dyDescent="0.3">
      <c r="A93" s="24">
        <v>511990</v>
      </c>
      <c r="B93" s="25" t="s">
        <v>354</v>
      </c>
      <c r="C93" s="26">
        <v>0.47916666666666669</v>
      </c>
      <c r="D93" s="25" t="s">
        <v>291</v>
      </c>
      <c r="E93" s="25" t="s">
        <v>358</v>
      </c>
      <c r="F93" s="25" t="s">
        <v>430</v>
      </c>
      <c r="G93" s="25" t="s">
        <v>431</v>
      </c>
      <c r="H93" s="25" t="s">
        <v>432</v>
      </c>
      <c r="I93" s="25" t="s">
        <v>433</v>
      </c>
      <c r="J93" s="25" t="s">
        <v>434</v>
      </c>
      <c r="K93" s="23"/>
    </row>
    <row r="94" spans="1:11" ht="32" customHeight="1" thickBot="1" x14ac:dyDescent="0.3">
      <c r="A94" s="24">
        <v>508441</v>
      </c>
      <c r="B94" s="25" t="s">
        <v>354</v>
      </c>
      <c r="C94" s="26">
        <v>0.5625</v>
      </c>
      <c r="D94" s="25" t="s">
        <v>303</v>
      </c>
      <c r="E94" s="25" t="s">
        <v>357</v>
      </c>
      <c r="F94" s="25" t="s">
        <v>430</v>
      </c>
      <c r="G94" s="25" t="s">
        <v>431</v>
      </c>
      <c r="H94" s="25" t="s">
        <v>432</v>
      </c>
      <c r="I94" s="25" t="s">
        <v>433</v>
      </c>
      <c r="J94" s="25" t="s">
        <v>434</v>
      </c>
      <c r="K94" s="23"/>
    </row>
    <row r="95" spans="1:11" ht="32" customHeight="1" thickBot="1" x14ac:dyDescent="0.3">
      <c r="A95" s="24">
        <v>511917</v>
      </c>
      <c r="B95" s="25" t="s">
        <v>354</v>
      </c>
      <c r="C95" s="26">
        <v>0.5625</v>
      </c>
      <c r="D95" s="25" t="s">
        <v>279</v>
      </c>
      <c r="E95" s="25" t="s">
        <v>355</v>
      </c>
      <c r="F95" s="25" t="s">
        <v>435</v>
      </c>
      <c r="G95" s="25" t="s">
        <v>431</v>
      </c>
      <c r="H95" s="25" t="s">
        <v>432</v>
      </c>
      <c r="I95" s="25" t="s">
        <v>433</v>
      </c>
      <c r="J95" s="25" t="s">
        <v>434</v>
      </c>
      <c r="K95" s="23"/>
    </row>
    <row r="96" spans="1:11" ht="31.5" customHeight="1" x14ac:dyDescent="0.25">
      <c r="A96" s="24">
        <v>507338</v>
      </c>
      <c r="B96" s="25" t="s">
        <v>354</v>
      </c>
      <c r="C96" s="26">
        <v>0.64583333333333337</v>
      </c>
      <c r="D96" s="25" t="s">
        <v>292</v>
      </c>
      <c r="E96" s="25" t="s">
        <v>323</v>
      </c>
      <c r="F96" s="25" t="s">
        <v>430</v>
      </c>
      <c r="G96" s="25" t="s">
        <v>431</v>
      </c>
      <c r="H96" s="25" t="s">
        <v>432</v>
      </c>
      <c r="I96" s="25" t="s">
        <v>433</v>
      </c>
      <c r="J96" s="25" t="s">
        <v>434</v>
      </c>
      <c r="K96" s="23"/>
    </row>
    <row r="97" spans="1:11" x14ac:dyDescent="0.25">
      <c r="A97" s="21" t="s">
        <v>420</v>
      </c>
      <c r="B97" s="21" t="s">
        <v>421</v>
      </c>
      <c r="C97" s="21" t="s">
        <v>422</v>
      </c>
      <c r="D97" s="21" t="s">
        <v>423</v>
      </c>
      <c r="E97" s="21" t="s">
        <v>424</v>
      </c>
      <c r="F97" s="21" t="s">
        <v>425</v>
      </c>
      <c r="G97" s="65" t="s">
        <v>426</v>
      </c>
      <c r="H97" s="65" t="s">
        <v>427</v>
      </c>
      <c r="I97" s="21" t="s">
        <v>428</v>
      </c>
      <c r="J97" s="67"/>
    </row>
    <row r="98" spans="1:11" ht="21.5" customHeight="1" thickBot="1" x14ac:dyDescent="0.3">
      <c r="A98" s="22" t="s">
        <v>429</v>
      </c>
      <c r="B98" s="22" t="s">
        <v>429</v>
      </c>
      <c r="C98" s="22" t="s">
        <v>429</v>
      </c>
      <c r="D98" s="22" t="s">
        <v>429</v>
      </c>
      <c r="E98" s="22" t="s">
        <v>429</v>
      </c>
      <c r="F98" s="22" t="s">
        <v>429</v>
      </c>
      <c r="G98" s="66"/>
      <c r="H98" s="66"/>
      <c r="I98" s="22" t="s">
        <v>429</v>
      </c>
      <c r="J98" s="66"/>
    </row>
    <row r="99" spans="1:11" ht="32" customHeight="1" thickBot="1" x14ac:dyDescent="0.3">
      <c r="A99" s="24">
        <v>503746</v>
      </c>
      <c r="B99" s="25" t="s">
        <v>359</v>
      </c>
      <c r="C99" s="26">
        <v>0.52083333333333337</v>
      </c>
      <c r="D99" s="25" t="s">
        <v>274</v>
      </c>
      <c r="E99" s="25" t="s">
        <v>360</v>
      </c>
      <c r="F99" s="25" t="s">
        <v>430</v>
      </c>
      <c r="G99" s="25" t="s">
        <v>431</v>
      </c>
      <c r="H99" s="25" t="s">
        <v>432</v>
      </c>
      <c r="I99" s="25" t="s">
        <v>433</v>
      </c>
      <c r="J99" s="25" t="s">
        <v>434</v>
      </c>
      <c r="K99" s="23"/>
    </row>
    <row r="100" spans="1:11" ht="32" customHeight="1" thickBot="1" x14ac:dyDescent="0.3">
      <c r="A100" s="24">
        <v>510718</v>
      </c>
      <c r="B100" s="25" t="s">
        <v>359</v>
      </c>
      <c r="C100" s="26">
        <v>0.52083333333333337</v>
      </c>
      <c r="D100" s="25" t="s">
        <v>282</v>
      </c>
      <c r="E100" s="25" t="s">
        <v>361</v>
      </c>
      <c r="F100" s="25" t="s">
        <v>435</v>
      </c>
      <c r="G100" s="25" t="s">
        <v>431</v>
      </c>
      <c r="H100" s="25" t="s">
        <v>432</v>
      </c>
      <c r="I100" s="25" t="s">
        <v>433</v>
      </c>
      <c r="J100" s="25" t="s">
        <v>434</v>
      </c>
      <c r="K100" s="23"/>
    </row>
    <row r="101" spans="1:11" ht="32" customHeight="1" thickBot="1" x14ac:dyDescent="0.3">
      <c r="A101" s="24">
        <v>509540</v>
      </c>
      <c r="B101" s="25" t="s">
        <v>359</v>
      </c>
      <c r="C101" s="26">
        <v>0.61458333333333337</v>
      </c>
      <c r="D101" s="25" t="s">
        <v>286</v>
      </c>
      <c r="E101" s="25" t="s">
        <v>362</v>
      </c>
      <c r="F101" s="25" t="s">
        <v>430</v>
      </c>
      <c r="G101" s="25" t="s">
        <v>431</v>
      </c>
      <c r="H101" s="25" t="s">
        <v>432</v>
      </c>
      <c r="I101" s="25" t="s">
        <v>436</v>
      </c>
      <c r="J101" s="25" t="s">
        <v>434</v>
      </c>
      <c r="K101" s="23"/>
    </row>
    <row r="102" spans="1:11" ht="32" customHeight="1" thickBot="1" x14ac:dyDescent="0.3">
      <c r="A102" s="24">
        <v>505412</v>
      </c>
      <c r="B102" s="25" t="s">
        <v>363</v>
      </c>
      <c r="C102" s="26">
        <v>0</v>
      </c>
      <c r="D102" s="25" t="s">
        <v>280</v>
      </c>
      <c r="E102" s="25" t="s">
        <v>279</v>
      </c>
      <c r="F102" s="25" t="s">
        <v>432</v>
      </c>
      <c r="G102" s="25" t="s">
        <v>500</v>
      </c>
      <c r="H102" s="25" t="s">
        <v>432</v>
      </c>
      <c r="I102" s="25" t="s">
        <v>433</v>
      </c>
      <c r="J102" s="25" t="s">
        <v>434</v>
      </c>
      <c r="K102" s="23"/>
    </row>
    <row r="103" spans="1:11" ht="32" customHeight="1" thickBot="1" x14ac:dyDescent="0.3">
      <c r="A103" s="24">
        <v>511790</v>
      </c>
      <c r="B103" s="25" t="s">
        <v>363</v>
      </c>
      <c r="C103" s="26">
        <v>0.625</v>
      </c>
      <c r="D103" s="25" t="s">
        <v>271</v>
      </c>
      <c r="E103" s="25" t="s">
        <v>270</v>
      </c>
      <c r="F103" s="25" t="s">
        <v>435</v>
      </c>
      <c r="G103" s="25" t="s">
        <v>501</v>
      </c>
      <c r="H103" s="25" t="s">
        <v>432</v>
      </c>
      <c r="I103" s="25" t="s">
        <v>433</v>
      </c>
      <c r="J103" s="25" t="s">
        <v>434</v>
      </c>
      <c r="K103" s="23"/>
    </row>
    <row r="104" spans="1:11" ht="32" customHeight="1" thickBot="1" x14ac:dyDescent="0.3">
      <c r="A104" s="24">
        <v>507342</v>
      </c>
      <c r="B104" s="25" t="s">
        <v>363</v>
      </c>
      <c r="C104" s="26">
        <v>0.64583333333333337</v>
      </c>
      <c r="D104" s="25" t="s">
        <v>292</v>
      </c>
      <c r="E104" s="25" t="s">
        <v>291</v>
      </c>
      <c r="F104" s="25" t="s">
        <v>430</v>
      </c>
      <c r="G104" s="25" t="s">
        <v>431</v>
      </c>
      <c r="H104" s="25" t="s">
        <v>432</v>
      </c>
      <c r="I104" s="25" t="s">
        <v>433</v>
      </c>
      <c r="J104" s="25" t="s">
        <v>434</v>
      </c>
      <c r="K104" s="23"/>
    </row>
    <row r="105" spans="1:11" ht="21.5" customHeight="1" thickBot="1" x14ac:dyDescent="0.3">
      <c r="A105" s="24">
        <v>510723</v>
      </c>
      <c r="B105" s="25" t="s">
        <v>363</v>
      </c>
      <c r="C105" s="26">
        <v>0.66666666666666663</v>
      </c>
      <c r="D105" s="25" t="s">
        <v>283</v>
      </c>
      <c r="E105" s="25" t="s">
        <v>282</v>
      </c>
      <c r="F105" s="25" t="s">
        <v>435</v>
      </c>
      <c r="G105" s="25" t="s">
        <v>502</v>
      </c>
      <c r="H105" s="25" t="s">
        <v>432</v>
      </c>
      <c r="I105" s="25" t="s">
        <v>433</v>
      </c>
      <c r="J105" s="25" t="s">
        <v>434</v>
      </c>
      <c r="K105" s="23"/>
    </row>
    <row r="106" spans="1:11" ht="42.5" customHeight="1" thickBot="1" x14ac:dyDescent="0.3">
      <c r="A106" s="24">
        <v>503757</v>
      </c>
      <c r="B106" s="25" t="s">
        <v>363</v>
      </c>
      <c r="C106" s="26">
        <v>0.83333333333333337</v>
      </c>
      <c r="D106" s="25" t="s">
        <v>275</v>
      </c>
      <c r="E106" s="25" t="s">
        <v>274</v>
      </c>
      <c r="F106" s="25" t="s">
        <v>503</v>
      </c>
      <c r="G106" s="25" t="s">
        <v>504</v>
      </c>
      <c r="H106" s="25" t="s">
        <v>432</v>
      </c>
      <c r="I106" s="25" t="s">
        <v>433</v>
      </c>
      <c r="J106" s="25" t="s">
        <v>434</v>
      </c>
      <c r="K106" s="23"/>
    </row>
    <row r="107" spans="1:11" ht="21.5" customHeight="1" thickBot="1" x14ac:dyDescent="0.3">
      <c r="A107" s="24">
        <v>509551</v>
      </c>
      <c r="B107" s="25" t="s">
        <v>505</v>
      </c>
      <c r="C107" s="26">
        <v>0.625</v>
      </c>
      <c r="D107" s="25" t="s">
        <v>287</v>
      </c>
      <c r="E107" s="25" t="s">
        <v>286</v>
      </c>
      <c r="F107" s="25" t="s">
        <v>435</v>
      </c>
      <c r="G107" s="25" t="s">
        <v>506</v>
      </c>
      <c r="H107" s="25" t="s">
        <v>432</v>
      </c>
      <c r="I107" s="25" t="s">
        <v>436</v>
      </c>
      <c r="J107" s="25" t="s">
        <v>434</v>
      </c>
      <c r="K107" s="23"/>
    </row>
    <row r="108" spans="1:11" ht="32" customHeight="1" thickBot="1" x14ac:dyDescent="0.3">
      <c r="A108" s="24">
        <v>509552</v>
      </c>
      <c r="B108" s="25" t="s">
        <v>507</v>
      </c>
      <c r="C108" s="26">
        <v>0.875</v>
      </c>
      <c r="D108" s="25" t="s">
        <v>300</v>
      </c>
      <c r="E108" s="25" t="s">
        <v>286</v>
      </c>
      <c r="F108" s="25" t="s">
        <v>435</v>
      </c>
      <c r="G108" s="25" t="s">
        <v>464</v>
      </c>
      <c r="H108" s="25" t="s">
        <v>432</v>
      </c>
      <c r="I108" s="25" t="s">
        <v>436</v>
      </c>
      <c r="J108" s="25" t="s">
        <v>434</v>
      </c>
      <c r="K108" s="23"/>
    </row>
    <row r="109" spans="1:11" ht="32" customHeight="1" thickBot="1" x14ac:dyDescent="0.3">
      <c r="A109" s="24">
        <v>505418</v>
      </c>
      <c r="B109" s="25" t="s">
        <v>365</v>
      </c>
      <c r="C109" s="26">
        <v>0.58333333333333337</v>
      </c>
      <c r="D109" s="25" t="s">
        <v>279</v>
      </c>
      <c r="E109" s="25" t="s">
        <v>367</v>
      </c>
      <c r="F109" s="25" t="s">
        <v>430</v>
      </c>
      <c r="G109" s="25" t="s">
        <v>431</v>
      </c>
      <c r="H109" s="25" t="s">
        <v>432</v>
      </c>
      <c r="I109" s="25" t="s">
        <v>433</v>
      </c>
      <c r="J109" s="25" t="s">
        <v>434</v>
      </c>
      <c r="K109" s="23"/>
    </row>
    <row r="110" spans="1:11" ht="32" customHeight="1" thickBot="1" x14ac:dyDescent="0.3">
      <c r="A110" s="24">
        <v>510727</v>
      </c>
      <c r="B110" s="25" t="s">
        <v>365</v>
      </c>
      <c r="C110" s="26">
        <v>0.58333333333333337</v>
      </c>
      <c r="D110" s="25" t="s">
        <v>282</v>
      </c>
      <c r="E110" s="25" t="s">
        <v>366</v>
      </c>
      <c r="F110" s="25" t="s">
        <v>435</v>
      </c>
      <c r="G110" s="25" t="s">
        <v>431</v>
      </c>
      <c r="H110" s="25" t="s">
        <v>432</v>
      </c>
      <c r="I110" s="25" t="s">
        <v>433</v>
      </c>
      <c r="J110" s="25" t="s">
        <v>434</v>
      </c>
      <c r="K110" s="23"/>
    </row>
    <row r="111" spans="1:11" ht="32" customHeight="1" thickBot="1" x14ac:dyDescent="0.3">
      <c r="A111" s="24">
        <v>508452</v>
      </c>
      <c r="B111" s="25" t="s">
        <v>365</v>
      </c>
      <c r="C111" s="26">
        <v>0.66666666666666663</v>
      </c>
      <c r="D111" s="25" t="s">
        <v>303</v>
      </c>
      <c r="E111" s="25" t="s">
        <v>369</v>
      </c>
      <c r="F111" s="25" t="s">
        <v>430</v>
      </c>
      <c r="G111" s="25" t="s">
        <v>431</v>
      </c>
      <c r="H111" s="25" t="s">
        <v>432</v>
      </c>
      <c r="I111" s="25" t="s">
        <v>433</v>
      </c>
      <c r="J111" s="25" t="s">
        <v>434</v>
      </c>
      <c r="K111" s="23"/>
    </row>
    <row r="112" spans="1:11" ht="32" customHeight="1" thickBot="1" x14ac:dyDescent="0.3">
      <c r="A112" s="24">
        <v>511796</v>
      </c>
      <c r="B112" s="25" t="s">
        <v>365</v>
      </c>
      <c r="C112" s="26">
        <v>0.66666666666666663</v>
      </c>
      <c r="D112" s="25" t="s">
        <v>270</v>
      </c>
      <c r="E112" s="25" t="s">
        <v>368</v>
      </c>
      <c r="F112" s="25" t="s">
        <v>435</v>
      </c>
      <c r="G112" s="25" t="s">
        <v>431</v>
      </c>
      <c r="H112" s="25" t="s">
        <v>432</v>
      </c>
      <c r="I112" s="25" t="s">
        <v>433</v>
      </c>
      <c r="J112" s="25" t="s">
        <v>434</v>
      </c>
      <c r="K112" s="23"/>
    </row>
    <row r="113" spans="1:11" ht="21.5" customHeight="1" thickBot="1" x14ac:dyDescent="0.3">
      <c r="A113" s="24">
        <v>503758</v>
      </c>
      <c r="B113" s="25" t="s">
        <v>508</v>
      </c>
      <c r="C113" s="26">
        <v>0</v>
      </c>
      <c r="D113" s="25" t="s">
        <v>297</v>
      </c>
      <c r="E113" s="25" t="s">
        <v>274</v>
      </c>
      <c r="F113" s="25" t="s">
        <v>432</v>
      </c>
      <c r="G113" s="25" t="s">
        <v>446</v>
      </c>
      <c r="H113" s="25" t="s">
        <v>432</v>
      </c>
      <c r="I113" s="25" t="s">
        <v>433</v>
      </c>
      <c r="J113" s="25" t="s">
        <v>434</v>
      </c>
      <c r="K113" s="23"/>
    </row>
    <row r="114" spans="1:11" ht="21.5" customHeight="1" thickBot="1" x14ac:dyDescent="0.3">
      <c r="A114" s="24">
        <v>507343</v>
      </c>
      <c r="B114" s="25" t="s">
        <v>508</v>
      </c>
      <c r="C114" s="26">
        <v>0</v>
      </c>
      <c r="D114" s="25" t="s">
        <v>295</v>
      </c>
      <c r="E114" s="25" t="s">
        <v>291</v>
      </c>
      <c r="F114" s="25" t="s">
        <v>432</v>
      </c>
      <c r="G114" s="25" t="s">
        <v>446</v>
      </c>
      <c r="H114" s="25" t="s">
        <v>432</v>
      </c>
      <c r="I114" s="25" t="s">
        <v>433</v>
      </c>
      <c r="J114" s="25" t="s">
        <v>434</v>
      </c>
      <c r="K114" s="23"/>
    </row>
    <row r="115" spans="1:11" ht="21.5" customHeight="1" thickBot="1" x14ac:dyDescent="0.3">
      <c r="A115" s="24">
        <v>507346</v>
      </c>
      <c r="B115" s="25" t="s">
        <v>508</v>
      </c>
      <c r="C115" s="26">
        <v>0</v>
      </c>
      <c r="D115" s="25" t="s">
        <v>298</v>
      </c>
      <c r="E115" s="25" t="s">
        <v>292</v>
      </c>
      <c r="F115" s="25" t="s">
        <v>430</v>
      </c>
      <c r="G115" s="25" t="s">
        <v>475</v>
      </c>
      <c r="H115" s="25" t="s">
        <v>432</v>
      </c>
      <c r="I115" s="25" t="s">
        <v>433</v>
      </c>
      <c r="J115" s="25" t="s">
        <v>434</v>
      </c>
      <c r="K115" s="23"/>
    </row>
    <row r="116" spans="1:11" ht="42.5" customHeight="1" thickBot="1" x14ac:dyDescent="0.3">
      <c r="A116" s="24">
        <v>510731</v>
      </c>
      <c r="B116" s="25" t="s">
        <v>370</v>
      </c>
      <c r="C116" s="26">
        <v>0</v>
      </c>
      <c r="D116" s="25" t="s">
        <v>306</v>
      </c>
      <c r="E116" s="25" t="s">
        <v>282</v>
      </c>
      <c r="F116" s="25" t="s">
        <v>435</v>
      </c>
      <c r="G116" s="25" t="s">
        <v>509</v>
      </c>
      <c r="H116" s="25" t="s">
        <v>432</v>
      </c>
      <c r="I116" s="25" t="s">
        <v>433</v>
      </c>
      <c r="J116" s="25" t="s">
        <v>434</v>
      </c>
      <c r="K116" s="23"/>
    </row>
    <row r="117" spans="1:11" ht="32" customHeight="1" thickBot="1" x14ac:dyDescent="0.3">
      <c r="A117" s="24">
        <v>507347</v>
      </c>
      <c r="B117" s="25" t="s">
        <v>370</v>
      </c>
      <c r="C117" s="26">
        <v>0.52083333333333337</v>
      </c>
      <c r="D117" s="25" t="s">
        <v>291</v>
      </c>
      <c r="E117" s="25" t="s">
        <v>371</v>
      </c>
      <c r="F117" s="25" t="s">
        <v>430</v>
      </c>
      <c r="G117" s="25" t="s">
        <v>431</v>
      </c>
      <c r="H117" s="25" t="s">
        <v>432</v>
      </c>
      <c r="I117" s="25" t="s">
        <v>433</v>
      </c>
      <c r="J117" s="25" t="s">
        <v>434</v>
      </c>
      <c r="K117" s="23"/>
    </row>
    <row r="118" spans="1:11" ht="32" customHeight="1" thickBot="1" x14ac:dyDescent="0.3">
      <c r="A118" s="24">
        <v>503765</v>
      </c>
      <c r="B118" s="25" t="s">
        <v>370</v>
      </c>
      <c r="C118" s="26">
        <v>0.60416666666666663</v>
      </c>
      <c r="D118" s="25" t="s">
        <v>274</v>
      </c>
      <c r="E118" s="25" t="s">
        <v>372</v>
      </c>
      <c r="F118" s="25" t="s">
        <v>430</v>
      </c>
      <c r="G118" s="25" t="s">
        <v>431</v>
      </c>
      <c r="H118" s="25" t="s">
        <v>432</v>
      </c>
      <c r="I118" s="25" t="s">
        <v>433</v>
      </c>
      <c r="J118" s="25" t="s">
        <v>434</v>
      </c>
      <c r="K118" s="23"/>
    </row>
    <row r="119" spans="1:11" ht="32" customHeight="1" thickBot="1" x14ac:dyDescent="0.3">
      <c r="A119" s="24">
        <v>507351</v>
      </c>
      <c r="B119" s="25" t="s">
        <v>370</v>
      </c>
      <c r="C119" s="26">
        <v>0.60416666666666663</v>
      </c>
      <c r="D119" s="25" t="s">
        <v>292</v>
      </c>
      <c r="E119" s="25" t="s">
        <v>295</v>
      </c>
      <c r="F119" s="25" t="s">
        <v>435</v>
      </c>
      <c r="G119" s="25" t="s">
        <v>431</v>
      </c>
      <c r="H119" s="25" t="s">
        <v>432</v>
      </c>
      <c r="I119" s="25" t="s">
        <v>433</v>
      </c>
      <c r="J119" s="25" t="s">
        <v>434</v>
      </c>
      <c r="K119" s="23"/>
    </row>
    <row r="120" spans="1:11" ht="21.5" customHeight="1" thickBot="1" x14ac:dyDescent="0.3">
      <c r="A120" s="24">
        <v>508456</v>
      </c>
      <c r="B120" s="25" t="s">
        <v>370</v>
      </c>
      <c r="C120" s="26">
        <v>0.625</v>
      </c>
      <c r="D120" s="25" t="s">
        <v>304</v>
      </c>
      <c r="E120" s="25" t="s">
        <v>303</v>
      </c>
      <c r="F120" s="25" t="s">
        <v>432</v>
      </c>
      <c r="G120" s="25" t="s">
        <v>510</v>
      </c>
      <c r="H120" s="25" t="s">
        <v>432</v>
      </c>
      <c r="I120" s="25" t="s">
        <v>433</v>
      </c>
      <c r="J120" s="25" t="s">
        <v>434</v>
      </c>
      <c r="K120" s="23"/>
    </row>
    <row r="121" spans="1:11" ht="32" customHeight="1" thickBot="1" x14ac:dyDescent="0.3">
      <c r="A121" s="24">
        <v>509559</v>
      </c>
      <c r="B121" s="25" t="s">
        <v>370</v>
      </c>
      <c r="C121" s="26">
        <v>0.69791666666666663</v>
      </c>
      <c r="D121" s="25" t="s">
        <v>286</v>
      </c>
      <c r="E121" s="25" t="s">
        <v>374</v>
      </c>
      <c r="F121" s="25" t="s">
        <v>430</v>
      </c>
      <c r="G121" s="25" t="s">
        <v>431</v>
      </c>
      <c r="H121" s="25" t="s">
        <v>432</v>
      </c>
      <c r="I121" s="25" t="s">
        <v>436</v>
      </c>
      <c r="J121" s="25" t="s">
        <v>434</v>
      </c>
      <c r="K121" s="23"/>
    </row>
    <row r="122" spans="1:11" ht="21.5" customHeight="1" thickBot="1" x14ac:dyDescent="0.3">
      <c r="A122" s="24">
        <v>511807</v>
      </c>
      <c r="B122" s="25" t="s">
        <v>370</v>
      </c>
      <c r="C122" s="26">
        <v>0.875</v>
      </c>
      <c r="D122" s="25" t="s">
        <v>305</v>
      </c>
      <c r="E122" s="25" t="s">
        <v>270</v>
      </c>
      <c r="F122" s="25" t="s">
        <v>435</v>
      </c>
      <c r="G122" s="25" t="s">
        <v>511</v>
      </c>
      <c r="H122" s="25" t="s">
        <v>432</v>
      </c>
      <c r="I122" s="25" t="s">
        <v>433</v>
      </c>
      <c r="J122" s="25" t="s">
        <v>434</v>
      </c>
      <c r="K122" s="23"/>
    </row>
    <row r="123" spans="1:11" ht="21.5" customHeight="1" thickBot="1" x14ac:dyDescent="0.3">
      <c r="A123" s="24">
        <v>512863</v>
      </c>
      <c r="B123" s="25" t="s">
        <v>512</v>
      </c>
      <c r="C123" s="26">
        <v>0</v>
      </c>
      <c r="D123" s="25" t="s">
        <v>310</v>
      </c>
      <c r="E123" s="25" t="s">
        <v>291</v>
      </c>
      <c r="F123" s="25" t="s">
        <v>432</v>
      </c>
      <c r="G123" s="25" t="s">
        <v>442</v>
      </c>
      <c r="H123" s="25" t="s">
        <v>432</v>
      </c>
      <c r="I123" s="25" t="s">
        <v>433</v>
      </c>
      <c r="J123" s="25" t="s">
        <v>434</v>
      </c>
      <c r="K123" s="23"/>
    </row>
    <row r="124" spans="1:11" ht="21.5" customHeight="1" thickBot="1" x14ac:dyDescent="0.3">
      <c r="A124" s="24">
        <v>505430</v>
      </c>
      <c r="B124" s="25" t="s">
        <v>512</v>
      </c>
      <c r="C124" s="26">
        <v>0.60416666666666663</v>
      </c>
      <c r="D124" s="25" t="s">
        <v>312</v>
      </c>
      <c r="E124" s="25" t="s">
        <v>279</v>
      </c>
      <c r="F124" s="25" t="s">
        <v>430</v>
      </c>
      <c r="G124" s="25" t="s">
        <v>443</v>
      </c>
      <c r="H124" s="25" t="s">
        <v>432</v>
      </c>
      <c r="I124" s="25" t="s">
        <v>433</v>
      </c>
      <c r="J124" s="25" t="s">
        <v>434</v>
      </c>
      <c r="K124" s="23"/>
    </row>
    <row r="125" spans="1:11" ht="21.5" customHeight="1" thickBot="1" x14ac:dyDescent="0.3">
      <c r="A125" s="24">
        <v>507355</v>
      </c>
      <c r="B125" s="25" t="s">
        <v>513</v>
      </c>
      <c r="C125" s="26">
        <v>0</v>
      </c>
      <c r="D125" s="25" t="s">
        <v>311</v>
      </c>
      <c r="E125" s="25" t="s">
        <v>292</v>
      </c>
      <c r="F125" s="25" t="s">
        <v>432</v>
      </c>
      <c r="G125" s="25" t="s">
        <v>514</v>
      </c>
      <c r="H125" s="25" t="s">
        <v>432</v>
      </c>
      <c r="I125" s="25" t="s">
        <v>433</v>
      </c>
      <c r="J125" s="25" t="s">
        <v>434</v>
      </c>
      <c r="K125" s="23"/>
    </row>
    <row r="126" spans="1:11" ht="21.5" customHeight="1" thickBot="1" x14ac:dyDescent="0.3">
      <c r="A126" s="24">
        <v>508470</v>
      </c>
      <c r="B126" s="25" t="s">
        <v>515</v>
      </c>
      <c r="C126" s="26">
        <v>0.625</v>
      </c>
      <c r="D126" s="25" t="s">
        <v>318</v>
      </c>
      <c r="E126" s="25" t="s">
        <v>303</v>
      </c>
      <c r="F126" s="25" t="s">
        <v>435</v>
      </c>
      <c r="G126" s="25" t="s">
        <v>516</v>
      </c>
      <c r="H126" s="25" t="s">
        <v>432</v>
      </c>
      <c r="I126" s="25" t="s">
        <v>433</v>
      </c>
      <c r="J126" s="25" t="s">
        <v>434</v>
      </c>
      <c r="K126" s="23"/>
    </row>
    <row r="127" spans="1:11" ht="32" customHeight="1" thickBot="1" x14ac:dyDescent="0.3">
      <c r="A127" s="24">
        <v>505429</v>
      </c>
      <c r="B127" s="25" t="s">
        <v>517</v>
      </c>
      <c r="C127" s="26">
        <v>0.51041666666666663</v>
      </c>
      <c r="D127" s="25" t="s">
        <v>302</v>
      </c>
      <c r="E127" s="25" t="s">
        <v>279</v>
      </c>
      <c r="F127" s="25" t="s">
        <v>435</v>
      </c>
      <c r="G127" s="25" t="s">
        <v>518</v>
      </c>
      <c r="H127" s="25" t="s">
        <v>432</v>
      </c>
      <c r="I127" s="25" t="s">
        <v>433</v>
      </c>
      <c r="J127" s="25" t="s">
        <v>434</v>
      </c>
      <c r="K127" s="23"/>
    </row>
    <row r="128" spans="1:11" ht="21" customHeight="1" x14ac:dyDescent="0.25">
      <c r="A128" s="24">
        <v>503771</v>
      </c>
      <c r="B128" s="25" t="s">
        <v>375</v>
      </c>
      <c r="C128" s="26">
        <v>0</v>
      </c>
      <c r="D128" s="25" t="s">
        <v>313</v>
      </c>
      <c r="E128" s="25" t="s">
        <v>274</v>
      </c>
      <c r="F128" s="25" t="s">
        <v>432</v>
      </c>
      <c r="G128" s="25" t="s">
        <v>511</v>
      </c>
      <c r="H128" s="25" t="s">
        <v>432</v>
      </c>
      <c r="I128" s="25" t="s">
        <v>433</v>
      </c>
      <c r="J128" s="25" t="s">
        <v>434</v>
      </c>
      <c r="K128" s="23"/>
    </row>
    <row r="129" spans="1:11" x14ac:dyDescent="0.25">
      <c r="A129" s="21" t="s">
        <v>420</v>
      </c>
      <c r="B129" s="21" t="s">
        <v>421</v>
      </c>
      <c r="C129" s="21" t="s">
        <v>422</v>
      </c>
      <c r="D129" s="21" t="s">
        <v>423</v>
      </c>
      <c r="E129" s="21" t="s">
        <v>424</v>
      </c>
      <c r="F129" s="21" t="s">
        <v>425</v>
      </c>
      <c r="G129" s="65" t="s">
        <v>426</v>
      </c>
      <c r="H129" s="65" t="s">
        <v>427</v>
      </c>
      <c r="I129" s="21" t="s">
        <v>428</v>
      </c>
      <c r="J129" s="67"/>
    </row>
    <row r="130" spans="1:11" ht="21.5" customHeight="1" thickBot="1" x14ac:dyDescent="0.3">
      <c r="A130" s="22" t="s">
        <v>429</v>
      </c>
      <c r="B130" s="22" t="s">
        <v>429</v>
      </c>
      <c r="C130" s="22" t="s">
        <v>429</v>
      </c>
      <c r="D130" s="22" t="s">
        <v>429</v>
      </c>
      <c r="E130" s="22" t="s">
        <v>429</v>
      </c>
      <c r="F130" s="22" t="s">
        <v>429</v>
      </c>
      <c r="G130" s="66"/>
      <c r="H130" s="66"/>
      <c r="I130" s="22" t="s">
        <v>429</v>
      </c>
      <c r="J130" s="66"/>
    </row>
    <row r="131" spans="1:11" ht="32" customHeight="1" thickBot="1" x14ac:dyDescent="0.3">
      <c r="A131" s="24">
        <v>508463</v>
      </c>
      <c r="B131" s="25" t="s">
        <v>375</v>
      </c>
      <c r="C131" s="26">
        <v>0.60416666666666663</v>
      </c>
      <c r="D131" s="25" t="s">
        <v>303</v>
      </c>
      <c r="E131" s="25" t="s">
        <v>376</v>
      </c>
      <c r="F131" s="25" t="s">
        <v>430</v>
      </c>
      <c r="G131" s="25" t="s">
        <v>431</v>
      </c>
      <c r="H131" s="25" t="s">
        <v>432</v>
      </c>
      <c r="I131" s="25" t="s">
        <v>433</v>
      </c>
      <c r="J131" s="25" t="s">
        <v>434</v>
      </c>
      <c r="K131" s="23"/>
    </row>
    <row r="132" spans="1:11" ht="32" customHeight="1" thickBot="1" x14ac:dyDescent="0.3">
      <c r="A132" s="24">
        <v>510736</v>
      </c>
      <c r="B132" s="25" t="s">
        <v>375</v>
      </c>
      <c r="C132" s="26">
        <v>0.60416666666666663</v>
      </c>
      <c r="D132" s="25" t="s">
        <v>282</v>
      </c>
      <c r="E132" s="25" t="s">
        <v>456</v>
      </c>
      <c r="F132" s="25" t="s">
        <v>435</v>
      </c>
      <c r="G132" s="25" t="s">
        <v>431</v>
      </c>
      <c r="H132" s="25" t="s">
        <v>432</v>
      </c>
      <c r="I132" s="25" t="s">
        <v>433</v>
      </c>
      <c r="J132" s="25" t="s">
        <v>434</v>
      </c>
      <c r="K132" s="23"/>
    </row>
    <row r="133" spans="1:11" ht="21.5" customHeight="1" thickBot="1" x14ac:dyDescent="0.3">
      <c r="A133" s="24">
        <v>511808</v>
      </c>
      <c r="B133" s="25" t="s">
        <v>519</v>
      </c>
      <c r="C133" s="26">
        <v>0.5</v>
      </c>
      <c r="D133" s="25" t="s">
        <v>309</v>
      </c>
      <c r="E133" s="25" t="s">
        <v>270</v>
      </c>
      <c r="F133" s="25" t="s">
        <v>435</v>
      </c>
      <c r="G133" s="25" t="s">
        <v>514</v>
      </c>
      <c r="H133" s="25" t="s">
        <v>432</v>
      </c>
      <c r="I133" s="25" t="s">
        <v>433</v>
      </c>
      <c r="J133" s="25" t="s">
        <v>434</v>
      </c>
      <c r="K133" s="23"/>
    </row>
    <row r="134" spans="1:11" ht="32" customHeight="1" thickBot="1" x14ac:dyDescent="0.3">
      <c r="A134" s="24">
        <v>505438</v>
      </c>
      <c r="B134" s="25" t="s">
        <v>378</v>
      </c>
      <c r="C134" s="26">
        <v>0.5</v>
      </c>
      <c r="D134" s="25" t="s">
        <v>279</v>
      </c>
      <c r="E134" s="25" t="s">
        <v>380</v>
      </c>
      <c r="F134" s="25" t="s">
        <v>430</v>
      </c>
      <c r="G134" s="25" t="s">
        <v>431</v>
      </c>
      <c r="H134" s="25" t="s">
        <v>432</v>
      </c>
      <c r="I134" s="25" t="s">
        <v>433</v>
      </c>
      <c r="J134" s="25" t="s">
        <v>434</v>
      </c>
      <c r="K134" s="23"/>
    </row>
    <row r="135" spans="1:11" ht="32" customHeight="1" thickBot="1" x14ac:dyDescent="0.3">
      <c r="A135" s="24">
        <v>507356</v>
      </c>
      <c r="B135" s="25" t="s">
        <v>378</v>
      </c>
      <c r="C135" s="26">
        <v>0.58333333333333337</v>
      </c>
      <c r="D135" s="25" t="s">
        <v>291</v>
      </c>
      <c r="E135" s="25" t="s">
        <v>382</v>
      </c>
      <c r="F135" s="25" t="s">
        <v>430</v>
      </c>
      <c r="G135" s="25" t="s">
        <v>431</v>
      </c>
      <c r="H135" s="25" t="s">
        <v>432</v>
      </c>
      <c r="I135" s="25" t="s">
        <v>433</v>
      </c>
      <c r="J135" s="25" t="s">
        <v>434</v>
      </c>
      <c r="K135" s="23"/>
    </row>
    <row r="136" spans="1:11" ht="32" customHeight="1" thickBot="1" x14ac:dyDescent="0.3">
      <c r="A136" s="24">
        <v>511816</v>
      </c>
      <c r="B136" s="25" t="s">
        <v>378</v>
      </c>
      <c r="C136" s="26">
        <v>0.58333333333333337</v>
      </c>
      <c r="D136" s="25" t="s">
        <v>270</v>
      </c>
      <c r="E136" s="25" t="s">
        <v>381</v>
      </c>
      <c r="F136" s="25" t="s">
        <v>435</v>
      </c>
      <c r="G136" s="25" t="s">
        <v>431</v>
      </c>
      <c r="H136" s="25" t="s">
        <v>432</v>
      </c>
      <c r="I136" s="25" t="s">
        <v>433</v>
      </c>
      <c r="J136" s="25" t="s">
        <v>434</v>
      </c>
      <c r="K136" s="23"/>
    </row>
    <row r="137" spans="1:11" ht="32" customHeight="1" thickBot="1" x14ac:dyDescent="0.3">
      <c r="A137" s="24">
        <v>507359</v>
      </c>
      <c r="B137" s="25" t="s">
        <v>378</v>
      </c>
      <c r="C137" s="26">
        <v>0.66666666666666663</v>
      </c>
      <c r="D137" s="25" t="s">
        <v>292</v>
      </c>
      <c r="E137" s="25" t="s">
        <v>371</v>
      </c>
      <c r="F137" s="25" t="s">
        <v>435</v>
      </c>
      <c r="G137" s="25" t="s">
        <v>431</v>
      </c>
      <c r="H137" s="25" t="s">
        <v>432</v>
      </c>
      <c r="I137" s="25" t="s">
        <v>433</v>
      </c>
      <c r="J137" s="25" t="s">
        <v>434</v>
      </c>
      <c r="K137" s="23"/>
    </row>
    <row r="138" spans="1:11" ht="42.5" customHeight="1" thickBot="1" x14ac:dyDescent="0.3">
      <c r="A138" s="24">
        <v>509571</v>
      </c>
      <c r="B138" s="25" t="s">
        <v>378</v>
      </c>
      <c r="C138" s="26">
        <v>0.76041666666666663</v>
      </c>
      <c r="D138" s="25" t="s">
        <v>286</v>
      </c>
      <c r="E138" s="25" t="s">
        <v>385</v>
      </c>
      <c r="F138" s="25" t="s">
        <v>430</v>
      </c>
      <c r="G138" s="25" t="s">
        <v>431</v>
      </c>
      <c r="H138" s="25" t="s">
        <v>432</v>
      </c>
      <c r="I138" s="25" t="s">
        <v>436</v>
      </c>
      <c r="J138" s="25" t="s">
        <v>434</v>
      </c>
      <c r="K138" s="23"/>
    </row>
    <row r="139" spans="1:11" ht="21.5" customHeight="1" thickBot="1" x14ac:dyDescent="0.3">
      <c r="A139" s="24">
        <v>516551</v>
      </c>
      <c r="B139" s="25" t="s">
        <v>520</v>
      </c>
      <c r="C139" s="26">
        <v>0.875</v>
      </c>
      <c r="D139" s="25" t="s">
        <v>466</v>
      </c>
      <c r="E139" s="25" t="s">
        <v>279</v>
      </c>
      <c r="F139" s="25" t="s">
        <v>435</v>
      </c>
      <c r="G139" s="25" t="s">
        <v>521</v>
      </c>
      <c r="H139" s="25" t="s">
        <v>432</v>
      </c>
      <c r="I139" s="25" t="s">
        <v>433</v>
      </c>
      <c r="J139" s="25" t="s">
        <v>434</v>
      </c>
      <c r="K139" s="23"/>
    </row>
    <row r="140" spans="1:11" ht="21.5" customHeight="1" thickBot="1" x14ac:dyDescent="0.3">
      <c r="A140" s="24">
        <v>509578</v>
      </c>
      <c r="B140" s="25" t="s">
        <v>386</v>
      </c>
      <c r="C140" s="26">
        <v>0</v>
      </c>
      <c r="D140" s="25" t="s">
        <v>330</v>
      </c>
      <c r="E140" s="25" t="s">
        <v>286</v>
      </c>
      <c r="F140" s="25" t="s">
        <v>432</v>
      </c>
      <c r="G140" s="25" t="s">
        <v>455</v>
      </c>
      <c r="H140" s="25" t="s">
        <v>432</v>
      </c>
      <c r="I140" s="25" t="s">
        <v>436</v>
      </c>
      <c r="J140" s="25" t="s">
        <v>434</v>
      </c>
      <c r="K140" s="23"/>
    </row>
    <row r="141" spans="1:11" ht="32" customHeight="1" thickBot="1" x14ac:dyDescent="0.3">
      <c r="A141" s="24">
        <v>508474</v>
      </c>
      <c r="B141" s="25" t="s">
        <v>386</v>
      </c>
      <c r="C141" s="26">
        <v>0.625</v>
      </c>
      <c r="D141" s="25" t="s">
        <v>303</v>
      </c>
      <c r="E141" s="25" t="s">
        <v>388</v>
      </c>
      <c r="F141" s="25" t="s">
        <v>430</v>
      </c>
      <c r="G141" s="25" t="s">
        <v>431</v>
      </c>
      <c r="H141" s="25" t="s">
        <v>432</v>
      </c>
      <c r="I141" s="25" t="s">
        <v>433</v>
      </c>
      <c r="J141" s="25" t="s">
        <v>434</v>
      </c>
      <c r="K141" s="23"/>
    </row>
    <row r="142" spans="1:11" ht="32" customHeight="1" thickBot="1" x14ac:dyDescent="0.3">
      <c r="A142" s="24">
        <v>510746</v>
      </c>
      <c r="B142" s="25" t="s">
        <v>386</v>
      </c>
      <c r="C142" s="26">
        <v>0.625</v>
      </c>
      <c r="D142" s="25" t="s">
        <v>282</v>
      </c>
      <c r="E142" s="25" t="s">
        <v>387</v>
      </c>
      <c r="F142" s="25" t="s">
        <v>435</v>
      </c>
      <c r="G142" s="25" t="s">
        <v>431</v>
      </c>
      <c r="H142" s="25" t="s">
        <v>432</v>
      </c>
      <c r="I142" s="25" t="s">
        <v>433</v>
      </c>
      <c r="J142" s="25" t="s">
        <v>434</v>
      </c>
      <c r="K142" s="23"/>
    </row>
    <row r="143" spans="1:11" ht="21.5" customHeight="1" thickBot="1" x14ac:dyDescent="0.3">
      <c r="A143" s="24">
        <v>511821</v>
      </c>
      <c r="B143" s="25" t="s">
        <v>386</v>
      </c>
      <c r="C143" s="26">
        <v>0.77083333333333337</v>
      </c>
      <c r="D143" s="25" t="s">
        <v>320</v>
      </c>
      <c r="E143" s="25" t="s">
        <v>270</v>
      </c>
      <c r="F143" s="25" t="s">
        <v>435</v>
      </c>
      <c r="G143" s="25" t="s">
        <v>522</v>
      </c>
      <c r="H143" s="25" t="s">
        <v>432</v>
      </c>
      <c r="I143" s="25" t="s">
        <v>433</v>
      </c>
      <c r="J143" s="25" t="s">
        <v>434</v>
      </c>
      <c r="K143" s="23"/>
    </row>
    <row r="144" spans="1:11" ht="21.5" customHeight="1" thickBot="1" x14ac:dyDescent="0.3">
      <c r="A144" s="24">
        <v>503784</v>
      </c>
      <c r="B144" s="25" t="s">
        <v>523</v>
      </c>
      <c r="C144" s="26">
        <v>0.52083333333333337</v>
      </c>
      <c r="D144" s="25" t="s">
        <v>327</v>
      </c>
      <c r="E144" s="25" t="s">
        <v>274</v>
      </c>
      <c r="F144" s="25" t="s">
        <v>435</v>
      </c>
      <c r="G144" s="25" t="s">
        <v>506</v>
      </c>
      <c r="H144" s="25" t="s">
        <v>432</v>
      </c>
      <c r="I144" s="25" t="s">
        <v>433</v>
      </c>
      <c r="J144" s="25" t="s">
        <v>434</v>
      </c>
      <c r="K144" s="23"/>
    </row>
    <row r="145" spans="1:11" ht="32" customHeight="1" thickBot="1" x14ac:dyDescent="0.3">
      <c r="A145" s="24">
        <v>507361</v>
      </c>
      <c r="B145" s="25" t="s">
        <v>523</v>
      </c>
      <c r="C145" s="26">
        <v>0.69791666666666663</v>
      </c>
      <c r="D145" s="25" t="s">
        <v>323</v>
      </c>
      <c r="E145" s="25" t="s">
        <v>291</v>
      </c>
      <c r="F145" s="25" t="s">
        <v>435</v>
      </c>
      <c r="G145" s="25" t="s">
        <v>454</v>
      </c>
      <c r="H145" s="25" t="s">
        <v>432</v>
      </c>
      <c r="I145" s="25" t="s">
        <v>433</v>
      </c>
      <c r="J145" s="25" t="s">
        <v>434</v>
      </c>
      <c r="K145" s="23"/>
    </row>
    <row r="146" spans="1:11" ht="21.5" customHeight="1" thickBot="1" x14ac:dyDescent="0.3">
      <c r="A146" s="24">
        <v>507363</v>
      </c>
      <c r="B146" s="25" t="s">
        <v>523</v>
      </c>
      <c r="C146" s="26">
        <v>0.8125</v>
      </c>
      <c r="D146" s="25" t="s">
        <v>325</v>
      </c>
      <c r="E146" s="25" t="s">
        <v>292</v>
      </c>
      <c r="F146" s="25" t="s">
        <v>435</v>
      </c>
      <c r="G146" s="25" t="s">
        <v>492</v>
      </c>
      <c r="H146" s="25" t="s">
        <v>432</v>
      </c>
      <c r="I146" s="25" t="s">
        <v>433</v>
      </c>
      <c r="J146" s="25" t="s">
        <v>434</v>
      </c>
      <c r="K146" s="23"/>
    </row>
    <row r="147" spans="1:11" ht="32" customHeight="1" thickBot="1" x14ac:dyDescent="0.3">
      <c r="A147" s="24">
        <v>512866</v>
      </c>
      <c r="B147" s="25" t="s">
        <v>389</v>
      </c>
      <c r="C147" s="26">
        <v>0.5</v>
      </c>
      <c r="D147" s="25" t="s">
        <v>292</v>
      </c>
      <c r="E147" s="25" t="s">
        <v>310</v>
      </c>
      <c r="F147" s="25" t="s">
        <v>430</v>
      </c>
      <c r="G147" s="25" t="s">
        <v>431</v>
      </c>
      <c r="H147" s="25" t="s">
        <v>432</v>
      </c>
      <c r="I147" s="25" t="s">
        <v>433</v>
      </c>
      <c r="J147" s="25" t="s">
        <v>434</v>
      </c>
      <c r="K147" s="23"/>
    </row>
    <row r="148" spans="1:11" ht="32" customHeight="1" thickBot="1" x14ac:dyDescent="0.3">
      <c r="A148" s="24">
        <v>503789</v>
      </c>
      <c r="B148" s="25" t="s">
        <v>389</v>
      </c>
      <c r="C148" s="26">
        <v>0.58333333333333337</v>
      </c>
      <c r="D148" s="25" t="s">
        <v>274</v>
      </c>
      <c r="E148" s="25" t="s">
        <v>392</v>
      </c>
      <c r="F148" s="25" t="s">
        <v>430</v>
      </c>
      <c r="G148" s="25" t="s">
        <v>431</v>
      </c>
      <c r="H148" s="25" t="s">
        <v>432</v>
      </c>
      <c r="I148" s="25" t="s">
        <v>433</v>
      </c>
      <c r="J148" s="25" t="s">
        <v>434</v>
      </c>
      <c r="K148" s="23"/>
    </row>
    <row r="149" spans="1:11" ht="32" customHeight="1" thickBot="1" x14ac:dyDescent="0.3">
      <c r="A149" s="24">
        <v>511828</v>
      </c>
      <c r="B149" s="25" t="s">
        <v>389</v>
      </c>
      <c r="C149" s="26">
        <v>0.58333333333333337</v>
      </c>
      <c r="D149" s="25" t="s">
        <v>270</v>
      </c>
      <c r="E149" s="25" t="s">
        <v>390</v>
      </c>
      <c r="F149" s="25" t="s">
        <v>435</v>
      </c>
      <c r="G149" s="25" t="s">
        <v>431</v>
      </c>
      <c r="H149" s="25" t="s">
        <v>432</v>
      </c>
      <c r="I149" s="25" t="s">
        <v>433</v>
      </c>
      <c r="J149" s="25" t="s">
        <v>434</v>
      </c>
      <c r="K149" s="23"/>
    </row>
    <row r="150" spans="1:11" ht="32" customHeight="1" thickBot="1" x14ac:dyDescent="0.3">
      <c r="A150" s="24">
        <v>507364</v>
      </c>
      <c r="B150" s="25" t="s">
        <v>389</v>
      </c>
      <c r="C150" s="26">
        <v>0.66666666666666663</v>
      </c>
      <c r="D150" s="25" t="s">
        <v>291</v>
      </c>
      <c r="E150" s="25" t="s">
        <v>298</v>
      </c>
      <c r="F150" s="25" t="s">
        <v>430</v>
      </c>
      <c r="G150" s="25" t="s">
        <v>431</v>
      </c>
      <c r="H150" s="25" t="s">
        <v>432</v>
      </c>
      <c r="I150" s="25" t="s">
        <v>433</v>
      </c>
      <c r="J150" s="25" t="s">
        <v>434</v>
      </c>
      <c r="K150" s="23"/>
    </row>
    <row r="151" spans="1:11" ht="32" customHeight="1" thickBot="1" x14ac:dyDescent="0.3">
      <c r="A151" s="24">
        <v>509583</v>
      </c>
      <c r="B151" s="25" t="s">
        <v>389</v>
      </c>
      <c r="C151" s="26">
        <v>0.76041666666666663</v>
      </c>
      <c r="D151" s="25" t="s">
        <v>286</v>
      </c>
      <c r="E151" s="25" t="s">
        <v>393</v>
      </c>
      <c r="F151" s="25" t="s">
        <v>430</v>
      </c>
      <c r="G151" s="25" t="s">
        <v>431</v>
      </c>
      <c r="H151" s="25" t="s">
        <v>432</v>
      </c>
      <c r="I151" s="25" t="s">
        <v>436</v>
      </c>
      <c r="J151" s="25" t="s">
        <v>434</v>
      </c>
      <c r="K151" s="23"/>
    </row>
    <row r="152" spans="1:11" ht="32" customHeight="1" thickBot="1" x14ac:dyDescent="0.3">
      <c r="A152" s="24">
        <v>508485</v>
      </c>
      <c r="B152" s="25" t="s">
        <v>524</v>
      </c>
      <c r="C152" s="26">
        <v>0.66666666666666663</v>
      </c>
      <c r="D152" s="25" t="s">
        <v>335</v>
      </c>
      <c r="E152" s="25" t="s">
        <v>303</v>
      </c>
      <c r="F152" s="25" t="s">
        <v>432</v>
      </c>
      <c r="G152" s="25" t="s">
        <v>525</v>
      </c>
      <c r="H152" s="25" t="s">
        <v>432</v>
      </c>
      <c r="I152" s="25" t="s">
        <v>433</v>
      </c>
      <c r="J152" s="25" t="s">
        <v>434</v>
      </c>
      <c r="K152" s="23"/>
    </row>
    <row r="153" spans="1:11" ht="32" customHeight="1" thickBot="1" x14ac:dyDescent="0.3">
      <c r="A153" s="24">
        <v>508369</v>
      </c>
      <c r="B153" s="25" t="s">
        <v>526</v>
      </c>
      <c r="C153" s="26">
        <v>0.52083333333333337</v>
      </c>
      <c r="D153" s="25" t="s">
        <v>303</v>
      </c>
      <c r="E153" s="25" t="s">
        <v>494</v>
      </c>
      <c r="F153" s="25" t="s">
        <v>435</v>
      </c>
      <c r="G153" s="25" t="s">
        <v>431</v>
      </c>
      <c r="H153" s="25" t="s">
        <v>432</v>
      </c>
      <c r="I153" s="25" t="s">
        <v>433</v>
      </c>
      <c r="J153" s="25" t="s">
        <v>434</v>
      </c>
      <c r="K153" s="23"/>
    </row>
    <row r="154" spans="1:11" ht="32" customHeight="1" thickBot="1" x14ac:dyDescent="0.3">
      <c r="A154" s="24">
        <v>511979</v>
      </c>
      <c r="B154" s="25" t="s">
        <v>526</v>
      </c>
      <c r="C154" s="26">
        <v>0.52083333333333337</v>
      </c>
      <c r="D154" s="25" t="s">
        <v>292</v>
      </c>
      <c r="E154" s="25" t="s">
        <v>358</v>
      </c>
      <c r="F154" s="25" t="s">
        <v>430</v>
      </c>
      <c r="G154" s="25" t="s">
        <v>431</v>
      </c>
      <c r="H154" s="25" t="s">
        <v>432</v>
      </c>
      <c r="I154" s="25" t="s">
        <v>433</v>
      </c>
      <c r="J154" s="25" t="s">
        <v>434</v>
      </c>
      <c r="K154" s="23"/>
    </row>
    <row r="155" spans="1:11" ht="32" customHeight="1" thickBot="1" x14ac:dyDescent="0.3">
      <c r="A155" s="24">
        <v>507286</v>
      </c>
      <c r="B155" s="25" t="s">
        <v>526</v>
      </c>
      <c r="C155" s="26">
        <v>0.60416666666666663</v>
      </c>
      <c r="D155" s="25" t="s">
        <v>291</v>
      </c>
      <c r="E155" s="25" t="s">
        <v>352</v>
      </c>
      <c r="F155" s="25" t="s">
        <v>430</v>
      </c>
      <c r="G155" s="25" t="s">
        <v>431</v>
      </c>
      <c r="H155" s="25" t="s">
        <v>432</v>
      </c>
      <c r="I155" s="25" t="s">
        <v>433</v>
      </c>
      <c r="J155" s="25" t="s">
        <v>434</v>
      </c>
      <c r="K155" s="23"/>
    </row>
    <row r="156" spans="1:11" ht="32" customHeight="1" thickBot="1" x14ac:dyDescent="0.3">
      <c r="A156" s="24">
        <v>511713</v>
      </c>
      <c r="B156" s="25" t="s">
        <v>526</v>
      </c>
      <c r="C156" s="26">
        <v>0.60416666666666663</v>
      </c>
      <c r="D156" s="25" t="s">
        <v>270</v>
      </c>
      <c r="E156" s="25" t="s">
        <v>499</v>
      </c>
      <c r="F156" s="25" t="s">
        <v>435</v>
      </c>
      <c r="G156" s="25" t="s">
        <v>431</v>
      </c>
      <c r="H156" s="25" t="s">
        <v>432</v>
      </c>
      <c r="I156" s="25" t="s">
        <v>433</v>
      </c>
      <c r="J156" s="25" t="s">
        <v>434</v>
      </c>
      <c r="K156" s="23"/>
    </row>
    <row r="157" spans="1:11" ht="32" customHeight="1" thickBot="1" x14ac:dyDescent="0.3">
      <c r="A157" s="24">
        <v>503797</v>
      </c>
      <c r="B157" s="25" t="s">
        <v>527</v>
      </c>
      <c r="C157" s="26">
        <v>0</v>
      </c>
      <c r="D157" s="25" t="s">
        <v>348</v>
      </c>
      <c r="E157" s="25" t="s">
        <v>274</v>
      </c>
      <c r="F157" s="25" t="s">
        <v>528</v>
      </c>
      <c r="G157" s="25" t="s">
        <v>529</v>
      </c>
      <c r="H157" s="25" t="s">
        <v>432</v>
      </c>
      <c r="I157" s="25" t="s">
        <v>433</v>
      </c>
      <c r="J157" s="25" t="s">
        <v>434</v>
      </c>
      <c r="K157" s="23"/>
    </row>
    <row r="158" spans="1:11" ht="21.5" customHeight="1" thickBot="1" x14ac:dyDescent="0.3">
      <c r="A158" s="24">
        <v>508486</v>
      </c>
      <c r="B158" s="25" t="s">
        <v>527</v>
      </c>
      <c r="C158" s="26">
        <v>0</v>
      </c>
      <c r="D158" s="25" t="s">
        <v>345</v>
      </c>
      <c r="E158" s="25" t="s">
        <v>303</v>
      </c>
      <c r="F158" s="25" t="s">
        <v>432</v>
      </c>
      <c r="G158" s="25" t="s">
        <v>530</v>
      </c>
      <c r="H158" s="25" t="s">
        <v>432</v>
      </c>
      <c r="I158" s="25" t="s">
        <v>433</v>
      </c>
      <c r="J158" s="25" t="s">
        <v>434</v>
      </c>
      <c r="K158" s="23"/>
    </row>
    <row r="159" spans="1:11" ht="32" customHeight="1" thickBot="1" x14ac:dyDescent="0.3">
      <c r="A159" s="24">
        <v>512465</v>
      </c>
      <c r="B159" s="25" t="s">
        <v>527</v>
      </c>
      <c r="C159" s="26">
        <v>0.875</v>
      </c>
      <c r="D159" s="25" t="s">
        <v>353</v>
      </c>
      <c r="E159" s="25" t="s">
        <v>286</v>
      </c>
      <c r="F159" s="25" t="s">
        <v>435</v>
      </c>
      <c r="G159" s="25" t="s">
        <v>531</v>
      </c>
      <c r="H159" s="25" t="s">
        <v>432</v>
      </c>
      <c r="I159" s="25" t="s">
        <v>436</v>
      </c>
      <c r="J159" s="25" t="s">
        <v>434</v>
      </c>
      <c r="K159" s="23"/>
    </row>
    <row r="160" spans="1:11" ht="21" customHeight="1" x14ac:dyDescent="0.25">
      <c r="A160" s="24">
        <v>505456</v>
      </c>
      <c r="B160" s="25" t="s">
        <v>532</v>
      </c>
      <c r="C160" s="26">
        <v>0.5</v>
      </c>
      <c r="D160" s="25" t="s">
        <v>342</v>
      </c>
      <c r="E160" s="25" t="s">
        <v>279</v>
      </c>
      <c r="F160" s="25" t="s">
        <v>435</v>
      </c>
      <c r="G160" s="25" t="s">
        <v>514</v>
      </c>
      <c r="H160" s="25" t="s">
        <v>432</v>
      </c>
      <c r="I160" s="25" t="s">
        <v>433</v>
      </c>
      <c r="J160" s="25" t="s">
        <v>434</v>
      </c>
      <c r="K160" s="23"/>
    </row>
    <row r="161" spans="1:11" x14ac:dyDescent="0.25">
      <c r="A161" s="21" t="s">
        <v>420</v>
      </c>
      <c r="B161" s="21" t="s">
        <v>421</v>
      </c>
      <c r="C161" s="21" t="s">
        <v>422</v>
      </c>
      <c r="D161" s="21" t="s">
        <v>423</v>
      </c>
      <c r="E161" s="21" t="s">
        <v>424</v>
      </c>
      <c r="F161" s="21" t="s">
        <v>425</v>
      </c>
      <c r="G161" s="65" t="s">
        <v>426</v>
      </c>
      <c r="H161" s="65" t="s">
        <v>427</v>
      </c>
      <c r="I161" s="21" t="s">
        <v>428</v>
      </c>
      <c r="J161" s="67"/>
    </row>
    <row r="162" spans="1:11" ht="21.5" customHeight="1" thickBot="1" x14ac:dyDescent="0.3">
      <c r="A162" s="22" t="s">
        <v>429</v>
      </c>
      <c r="B162" s="22" t="s">
        <v>429</v>
      </c>
      <c r="C162" s="22" t="s">
        <v>429</v>
      </c>
      <c r="D162" s="22" t="s">
        <v>429</v>
      </c>
      <c r="E162" s="22" t="s">
        <v>429</v>
      </c>
      <c r="F162" s="22" t="s">
        <v>429</v>
      </c>
      <c r="G162" s="66"/>
      <c r="H162" s="66"/>
      <c r="I162" s="22" t="s">
        <v>429</v>
      </c>
      <c r="J162" s="66"/>
    </row>
    <row r="163" spans="1:11" ht="32" customHeight="1" thickBot="1" x14ac:dyDescent="0.3">
      <c r="A163" s="24">
        <v>514123</v>
      </c>
      <c r="B163" s="25" t="s">
        <v>532</v>
      </c>
      <c r="C163" s="26">
        <v>0.52083333333333337</v>
      </c>
      <c r="D163" s="25" t="s">
        <v>480</v>
      </c>
      <c r="E163" s="25" t="s">
        <v>270</v>
      </c>
      <c r="F163" s="25" t="s">
        <v>435</v>
      </c>
      <c r="G163" s="25" t="s">
        <v>468</v>
      </c>
      <c r="H163" s="25" t="s">
        <v>432</v>
      </c>
      <c r="I163" s="25" t="s">
        <v>433</v>
      </c>
      <c r="J163" s="25" t="s">
        <v>434</v>
      </c>
      <c r="K163" s="23"/>
    </row>
    <row r="164" spans="1:11" ht="21.5" customHeight="1" thickBot="1" x14ac:dyDescent="0.3">
      <c r="A164" s="24">
        <v>510756</v>
      </c>
      <c r="B164" s="25" t="s">
        <v>532</v>
      </c>
      <c r="C164" s="26">
        <v>0.54166666666666663</v>
      </c>
      <c r="D164" s="25" t="s">
        <v>350</v>
      </c>
      <c r="E164" s="25" t="s">
        <v>282</v>
      </c>
      <c r="F164" s="25" t="s">
        <v>533</v>
      </c>
      <c r="G164" s="25" t="s">
        <v>534</v>
      </c>
      <c r="H164" s="25" t="s">
        <v>432</v>
      </c>
      <c r="I164" s="25" t="s">
        <v>433</v>
      </c>
      <c r="J164" s="25" t="s">
        <v>434</v>
      </c>
      <c r="K164" s="23"/>
    </row>
    <row r="165" spans="1:11" ht="21.5" customHeight="1" thickBot="1" x14ac:dyDescent="0.3">
      <c r="A165" s="24">
        <v>507370</v>
      </c>
      <c r="B165" s="25" t="s">
        <v>532</v>
      </c>
      <c r="C165" s="26">
        <v>0.58333333333333337</v>
      </c>
      <c r="D165" s="25" t="s">
        <v>311</v>
      </c>
      <c r="E165" s="25" t="s">
        <v>291</v>
      </c>
      <c r="F165" s="25" t="s">
        <v>435</v>
      </c>
      <c r="G165" s="25" t="s">
        <v>514</v>
      </c>
      <c r="H165" s="25" t="s">
        <v>432</v>
      </c>
      <c r="I165" s="25" t="s">
        <v>433</v>
      </c>
      <c r="J165" s="25" t="s">
        <v>434</v>
      </c>
      <c r="K165" s="23"/>
    </row>
    <row r="166" spans="1:11" ht="21.5" customHeight="1" thickBot="1" x14ac:dyDescent="0.3">
      <c r="A166" s="24">
        <v>507371</v>
      </c>
      <c r="B166" s="25" t="s">
        <v>532</v>
      </c>
      <c r="C166" s="26">
        <v>0.66666666666666663</v>
      </c>
      <c r="D166" s="25" t="s">
        <v>352</v>
      </c>
      <c r="E166" s="25" t="s">
        <v>292</v>
      </c>
      <c r="F166" s="25" t="s">
        <v>435</v>
      </c>
      <c r="G166" s="25" t="s">
        <v>514</v>
      </c>
      <c r="H166" s="25" t="s">
        <v>432</v>
      </c>
      <c r="I166" s="25" t="s">
        <v>433</v>
      </c>
      <c r="J166" s="25" t="s">
        <v>434</v>
      </c>
      <c r="K166" s="23"/>
    </row>
    <row r="167" spans="1:11" ht="32" customHeight="1" thickBot="1" x14ac:dyDescent="0.3">
      <c r="A167" s="24">
        <v>503801</v>
      </c>
      <c r="B167" s="25" t="s">
        <v>394</v>
      </c>
      <c r="C167" s="26">
        <v>0.47916666666666669</v>
      </c>
      <c r="D167" s="25" t="s">
        <v>274</v>
      </c>
      <c r="E167" s="25" t="s">
        <v>395</v>
      </c>
      <c r="F167" s="25" t="s">
        <v>430</v>
      </c>
      <c r="G167" s="25" t="s">
        <v>431</v>
      </c>
      <c r="H167" s="25" t="s">
        <v>432</v>
      </c>
      <c r="I167" s="25" t="s">
        <v>433</v>
      </c>
      <c r="J167" s="25" t="s">
        <v>434</v>
      </c>
      <c r="K167" s="23"/>
    </row>
    <row r="168" spans="1:11" ht="32" customHeight="1" thickBot="1" x14ac:dyDescent="0.3">
      <c r="A168" s="24">
        <v>511840</v>
      </c>
      <c r="B168" s="25" t="s">
        <v>394</v>
      </c>
      <c r="C168" s="26">
        <v>0.47916666666666669</v>
      </c>
      <c r="D168" s="25" t="s">
        <v>270</v>
      </c>
      <c r="E168" s="25" t="s">
        <v>398</v>
      </c>
      <c r="F168" s="25" t="s">
        <v>435</v>
      </c>
      <c r="G168" s="25" t="s">
        <v>431</v>
      </c>
      <c r="H168" s="25" t="s">
        <v>432</v>
      </c>
      <c r="I168" s="25" t="s">
        <v>433</v>
      </c>
      <c r="J168" s="25" t="s">
        <v>434</v>
      </c>
      <c r="K168" s="23"/>
    </row>
    <row r="169" spans="1:11" ht="32" customHeight="1" thickBot="1" x14ac:dyDescent="0.3">
      <c r="A169" s="24">
        <v>507375</v>
      </c>
      <c r="B169" s="25" t="s">
        <v>394</v>
      </c>
      <c r="C169" s="26">
        <v>0.5625</v>
      </c>
      <c r="D169" s="25" t="s">
        <v>292</v>
      </c>
      <c r="E169" s="25" t="s">
        <v>382</v>
      </c>
      <c r="F169" s="25" t="s">
        <v>430</v>
      </c>
      <c r="G169" s="25" t="s">
        <v>431</v>
      </c>
      <c r="H169" s="25" t="s">
        <v>432</v>
      </c>
      <c r="I169" s="25" t="s">
        <v>433</v>
      </c>
      <c r="J169" s="25" t="s">
        <v>434</v>
      </c>
      <c r="K169" s="23"/>
    </row>
    <row r="170" spans="1:11" ht="32" customHeight="1" thickBot="1" x14ac:dyDescent="0.3">
      <c r="A170" s="24">
        <v>508496</v>
      </c>
      <c r="B170" s="25" t="s">
        <v>394</v>
      </c>
      <c r="C170" s="26">
        <v>0.5625</v>
      </c>
      <c r="D170" s="25" t="s">
        <v>303</v>
      </c>
      <c r="E170" s="25" t="s">
        <v>396</v>
      </c>
      <c r="F170" s="25" t="s">
        <v>435</v>
      </c>
      <c r="G170" s="25" t="s">
        <v>431</v>
      </c>
      <c r="H170" s="25" t="s">
        <v>432</v>
      </c>
      <c r="I170" s="25" t="s">
        <v>433</v>
      </c>
      <c r="J170" s="25" t="s">
        <v>434</v>
      </c>
      <c r="K170" s="23"/>
    </row>
    <row r="171" spans="1:11" ht="32" customHeight="1" thickBot="1" x14ac:dyDescent="0.3">
      <c r="A171" s="24">
        <v>505462</v>
      </c>
      <c r="B171" s="25" t="s">
        <v>394</v>
      </c>
      <c r="C171" s="26">
        <v>0.64583333333333337</v>
      </c>
      <c r="D171" s="25" t="s">
        <v>279</v>
      </c>
      <c r="E171" s="25" t="s">
        <v>397</v>
      </c>
      <c r="F171" s="25" t="s">
        <v>430</v>
      </c>
      <c r="G171" s="25" t="s">
        <v>431</v>
      </c>
      <c r="H171" s="25" t="s">
        <v>432</v>
      </c>
      <c r="I171" s="25" t="s">
        <v>433</v>
      </c>
      <c r="J171" s="25" t="s">
        <v>434</v>
      </c>
      <c r="K171" s="23"/>
    </row>
    <row r="172" spans="1:11" ht="32" customHeight="1" thickBot="1" x14ac:dyDescent="0.3">
      <c r="A172" s="24">
        <v>507372</v>
      </c>
      <c r="B172" s="25" t="s">
        <v>399</v>
      </c>
      <c r="C172" s="26">
        <v>0.52083333333333337</v>
      </c>
      <c r="D172" s="25" t="s">
        <v>291</v>
      </c>
      <c r="E172" s="25" t="s">
        <v>325</v>
      </c>
      <c r="F172" s="25" t="s">
        <v>430</v>
      </c>
      <c r="G172" s="25" t="s">
        <v>431</v>
      </c>
      <c r="H172" s="25" t="s">
        <v>432</v>
      </c>
      <c r="I172" s="25" t="s">
        <v>433</v>
      </c>
      <c r="J172" s="25" t="s">
        <v>434</v>
      </c>
      <c r="K172" s="23"/>
    </row>
    <row r="173" spans="1:11" ht="32" customHeight="1" thickBot="1" x14ac:dyDescent="0.3">
      <c r="A173" s="24">
        <v>510764</v>
      </c>
      <c r="B173" s="25" t="s">
        <v>399</v>
      </c>
      <c r="C173" s="26">
        <v>0.52083333333333337</v>
      </c>
      <c r="D173" s="25" t="s">
        <v>282</v>
      </c>
      <c r="E173" s="25" t="s">
        <v>400</v>
      </c>
      <c r="F173" s="25" t="s">
        <v>435</v>
      </c>
      <c r="G173" s="25" t="s">
        <v>431</v>
      </c>
      <c r="H173" s="25" t="s">
        <v>432</v>
      </c>
      <c r="I173" s="25" t="s">
        <v>433</v>
      </c>
      <c r="J173" s="25" t="s">
        <v>434</v>
      </c>
      <c r="K173" s="23"/>
    </row>
    <row r="174" spans="1:11" ht="31.5" customHeight="1" x14ac:dyDescent="0.25">
      <c r="A174" s="24">
        <v>509595</v>
      </c>
      <c r="B174" s="25" t="s">
        <v>399</v>
      </c>
      <c r="C174" s="26">
        <v>0.61458333333333337</v>
      </c>
      <c r="D174" s="25" t="s">
        <v>286</v>
      </c>
      <c r="E174" s="25" t="s">
        <v>401</v>
      </c>
      <c r="F174" s="25" t="s">
        <v>430</v>
      </c>
      <c r="G174" s="25" t="s">
        <v>431</v>
      </c>
      <c r="H174" s="25" t="s">
        <v>432</v>
      </c>
      <c r="I174" s="25" t="s">
        <v>436</v>
      </c>
      <c r="J174" s="25" t="s">
        <v>434</v>
      </c>
      <c r="K174" s="23"/>
    </row>
  </sheetData>
  <mergeCells count="18">
    <mergeCell ref="G1:G2"/>
    <mergeCell ref="H1:H2"/>
    <mergeCell ref="J1:J2"/>
    <mergeCell ref="J129:J130"/>
    <mergeCell ref="H129:H130"/>
    <mergeCell ref="J65:J66"/>
    <mergeCell ref="J33:J34"/>
    <mergeCell ref="J97:J98"/>
    <mergeCell ref="G129:G130"/>
    <mergeCell ref="H161:H162"/>
    <mergeCell ref="J161:J162"/>
    <mergeCell ref="G161:G162"/>
    <mergeCell ref="H97:H98"/>
    <mergeCell ref="G97:G98"/>
    <mergeCell ref="G33:G34"/>
    <mergeCell ref="H65:H66"/>
    <mergeCell ref="H33:H34"/>
    <mergeCell ref="G65:G66"/>
  </mergeCells>
  <hyperlinks>
    <hyperlink ref="A3" r:id="rId1" display="https://club.basketball.nl/management/7983f1df-70f8-4def-af89-86b7fe6cde42/spas/competition/matches/503686" xr:uid="{00000000-0004-0000-0400-000000000000}"/>
    <hyperlink ref="A4" r:id="rId2" display="https://club.basketball.nl/management/7983f1df-70f8-4def-af89-86b7fe6cde42/spas/competition/matches/511725" xr:uid="{00000000-0004-0000-0400-000001000000}"/>
    <hyperlink ref="A5" r:id="rId3" display="https://club.basketball.nl/management/7983f1df-70f8-4def-af89-86b7fe6cde42/spas/competition/matches/505347" xr:uid="{00000000-0004-0000-0400-000002000000}"/>
    <hyperlink ref="A6" r:id="rId4" display="https://club.basketball.nl/management/7983f1df-70f8-4def-af89-86b7fe6cde42/spas/competition/matches/510668" xr:uid="{00000000-0004-0000-0400-000003000000}"/>
    <hyperlink ref="A7" r:id="rId5" display="https://club.basketball.nl/management/7983f1df-70f8-4def-af89-86b7fe6cde42/spas/competition/matches/509480" xr:uid="{00000000-0004-0000-0400-000004000000}"/>
    <hyperlink ref="A8" r:id="rId6" display="https://club.basketball.nl/management/7983f1df-70f8-4def-af89-86b7fe6cde42/spas/competition/matches/507294" xr:uid="{00000000-0004-0000-0400-000005000000}"/>
    <hyperlink ref="A9" r:id="rId7" display="https://club.basketball.nl/management/7983f1df-70f8-4def-af89-86b7fe6cde42/spas/competition/matches/508388" xr:uid="{00000000-0004-0000-0400-000006000000}"/>
    <hyperlink ref="A10" r:id="rId8" display="https://club.basketball.nl/management/7983f1df-70f8-4def-af89-86b7fe6cde42/spas/competition/matches/505353" xr:uid="{00000000-0004-0000-0400-000007000000}"/>
    <hyperlink ref="A11" r:id="rId9" display="https://club.basketball.nl/management/7983f1df-70f8-4def-af89-86b7fe6cde42/spas/competition/matches/509487" xr:uid="{00000000-0004-0000-0400-000008000000}"/>
    <hyperlink ref="A12" r:id="rId10" display="https://club.basketball.nl/management/7983f1df-70f8-4def-af89-86b7fe6cde42/spas/competition/matches/503693" xr:uid="{00000000-0004-0000-0400-000009000000}"/>
    <hyperlink ref="A13" r:id="rId11" display="https://club.basketball.nl/management/7983f1df-70f8-4def-af89-86b7fe6cde42/spas/competition/matches/507301" xr:uid="{00000000-0004-0000-0400-00000A000000}"/>
    <hyperlink ref="A14" r:id="rId12" display="https://club.basketball.nl/management/7983f1df-70f8-4def-af89-86b7fe6cde42/spas/competition/matches/507298" xr:uid="{00000000-0004-0000-0400-00000B000000}"/>
    <hyperlink ref="A15" r:id="rId13" display="https://club.basketball.nl/management/7983f1df-70f8-4def-af89-86b7fe6cde42/spas/competition/matches/511731" xr:uid="{00000000-0004-0000-0400-00000C000000}"/>
    <hyperlink ref="A16" r:id="rId14" display="https://club.basketball.nl/management/7983f1df-70f8-4def-af89-86b7fe6cde42/spas/competition/matches/510674" xr:uid="{00000000-0004-0000-0400-00000D000000}"/>
    <hyperlink ref="A17" r:id="rId15" display="https://club.basketball.nl/management/7983f1df-70f8-4def-af89-86b7fe6cde42/spas/competition/matches/503699" xr:uid="{00000000-0004-0000-0400-00000E000000}"/>
    <hyperlink ref="A18" r:id="rId16" display="https://club.basketball.nl/management/7983f1df-70f8-4def-af89-86b7fe6cde42/spas/competition/matches/505358" xr:uid="{00000000-0004-0000-0400-00000F000000}"/>
    <hyperlink ref="A19" r:id="rId17" display="https://club.basketball.nl/management/7983f1df-70f8-4def-af89-86b7fe6cde42/spas/competition/matches/508392" xr:uid="{00000000-0004-0000-0400-000010000000}"/>
    <hyperlink ref="A20" r:id="rId18" display="https://club.basketball.nl/management/7983f1df-70f8-4def-af89-86b7fe6cde42/spas/competition/matches/510677" xr:uid="{00000000-0004-0000-0400-000011000000}"/>
    <hyperlink ref="A21" r:id="rId19" display="https://club.basketball.nl/management/7983f1df-70f8-4def-af89-86b7fe6cde42/spas/competition/matches/511736" xr:uid="{00000000-0004-0000-0400-000012000000}"/>
    <hyperlink ref="A22" r:id="rId20" display="https://club.basketball.nl/management/7983f1df-70f8-4def-af89-86b7fe6cde42/spas/competition/matches/509493" xr:uid="{00000000-0004-0000-0400-000013000000}"/>
    <hyperlink ref="A23" r:id="rId21" display="https://club.basketball.nl/management/7983f1df-70f8-4def-af89-86b7fe6cde42/spas/competition/matches/507303" xr:uid="{00000000-0004-0000-0400-000014000000}"/>
    <hyperlink ref="A24" r:id="rId22" display="https://club.basketball.nl/management/7983f1df-70f8-4def-af89-86b7fe6cde42/spas/competition/matches/507302" xr:uid="{00000000-0004-0000-0400-000015000000}"/>
    <hyperlink ref="A25" r:id="rId23" display="https://club.basketball.nl/management/7983f1df-70f8-4def-af89-86b7fe6cde42/spas/competition/matches/503674" xr:uid="{00000000-0004-0000-0400-000016000000}"/>
    <hyperlink ref="A26" r:id="rId24" display="https://club.basketball.nl/management/7983f1df-70f8-4def-af89-86b7fe6cde42/spas/competition/matches/511749" xr:uid="{00000000-0004-0000-0400-000017000000}"/>
    <hyperlink ref="A27" r:id="rId25" display="https://club.basketball.nl/management/7983f1df-70f8-4def-af89-86b7fe6cde42/spas/competition/matches/510658" xr:uid="{00000000-0004-0000-0400-000018000000}"/>
    <hyperlink ref="A28" r:id="rId26" display="https://club.basketball.nl/management/7983f1df-70f8-4def-af89-86b7fe6cde42/spas/competition/matches/511980" xr:uid="{00000000-0004-0000-0400-000019000000}"/>
    <hyperlink ref="A29" r:id="rId27" display="https://club.basketball.nl/management/7983f1df-70f8-4def-af89-86b7fe6cde42/spas/competition/matches/507290" xr:uid="{00000000-0004-0000-0400-00001A000000}"/>
    <hyperlink ref="A30" r:id="rId28" display="https://club.basketball.nl/management/7983f1df-70f8-4def-af89-86b7fe6cde42/spas/competition/matches/511744" xr:uid="{00000000-0004-0000-0400-00001B000000}"/>
    <hyperlink ref="A31" r:id="rId29" display="https://club.basketball.nl/management/7983f1df-70f8-4def-af89-86b7fe6cde42/spas/competition/matches/512852" xr:uid="{00000000-0004-0000-0400-00001C000000}"/>
    <hyperlink ref="A32" r:id="rId30" display="https://club.basketball.nl/management/7983f1df-70f8-4def-af89-86b7fe6cde42/spas/competition/matches/505366" xr:uid="{00000000-0004-0000-0400-00001D000000}"/>
    <hyperlink ref="A35" r:id="rId31" display="https://club.basketball.nl/management/7983f1df-70f8-4def-af89-86b7fe6cde42/spas/competition/matches/507310" xr:uid="{00000000-0004-0000-0400-00001E000000}"/>
    <hyperlink ref="A36" r:id="rId32" display="https://club.basketball.nl/management/7983f1df-70f8-4def-af89-86b7fe6cde42/spas/competition/matches/508397" xr:uid="{00000000-0004-0000-0400-00001F000000}"/>
    <hyperlink ref="A37" r:id="rId33" display="https://club.basketball.nl/management/7983f1df-70f8-4def-af89-86b7fe6cde42/spas/competition/matches/503705" xr:uid="{00000000-0004-0000-0400-000020000000}"/>
    <hyperlink ref="A38" r:id="rId34" display="https://club.basketball.nl/management/7983f1df-70f8-4def-af89-86b7fe6cde42/spas/competition/matches/510682" xr:uid="{00000000-0004-0000-0400-000021000000}"/>
    <hyperlink ref="A39" r:id="rId35" display="https://club.basketball.nl/management/7983f1df-70f8-4def-af89-86b7fe6cde42/spas/competition/matches/509499" xr:uid="{00000000-0004-0000-0400-000022000000}"/>
    <hyperlink ref="A40" r:id="rId36" display="https://club.basketball.nl/management/7983f1df-70f8-4def-af89-86b7fe6cde42/spas/competition/matches/508403" xr:uid="{00000000-0004-0000-0400-000023000000}"/>
    <hyperlink ref="A41" r:id="rId37" display="https://club.basketball.nl/management/7983f1df-70f8-4def-af89-86b7fe6cde42/spas/competition/matches/507312" xr:uid="{00000000-0004-0000-0400-000024000000}"/>
    <hyperlink ref="A42" r:id="rId38" display="https://club.basketball.nl/management/7983f1df-70f8-4def-af89-86b7fe6cde42/spas/competition/matches/503712" xr:uid="{00000000-0004-0000-0400-000025000000}"/>
    <hyperlink ref="A43" r:id="rId39" display="https://club.basketball.nl/management/7983f1df-70f8-4def-af89-86b7fe6cde42/spas/competition/matches/509506" xr:uid="{00000000-0004-0000-0400-000026000000}"/>
    <hyperlink ref="A44" r:id="rId40" display="https://club.basketball.nl/management/7983f1df-70f8-4def-af89-86b7fe6cde42/spas/competition/matches/507311" xr:uid="{00000000-0004-0000-0400-000027000000}"/>
    <hyperlink ref="A45" r:id="rId41" display="https://club.basketball.nl/management/7983f1df-70f8-4def-af89-86b7fe6cde42/spas/competition/matches/505371" xr:uid="{00000000-0004-0000-0400-000028000000}"/>
    <hyperlink ref="A46" r:id="rId42" display="https://club.basketball.nl/management/7983f1df-70f8-4def-af89-86b7fe6cde42/spas/competition/matches/508411" xr:uid="{00000000-0004-0000-0400-000029000000}"/>
    <hyperlink ref="A47" r:id="rId43" display="https://club.basketball.nl/management/7983f1df-70f8-4def-af89-86b7fe6cde42/spas/competition/matches/505378" xr:uid="{00000000-0004-0000-0400-00002A000000}"/>
    <hyperlink ref="A48" r:id="rId44" display="https://club.basketball.nl/management/7983f1df-70f8-4def-af89-86b7fe6cde42/spas/competition/matches/516541" xr:uid="{00000000-0004-0000-0400-00002B000000}"/>
    <hyperlink ref="A49" r:id="rId45" display="https://club.basketball.nl/management/7983f1df-70f8-4def-af89-86b7fe6cde42/spas/competition/matches/507315" xr:uid="{00000000-0004-0000-0400-00002C000000}"/>
    <hyperlink ref="A50" r:id="rId46" display="https://club.basketball.nl/management/7983f1df-70f8-4def-af89-86b7fe6cde42/spas/competition/matches/511756" xr:uid="{00000000-0004-0000-0400-00002D000000}"/>
    <hyperlink ref="A51" r:id="rId47" display="https://club.basketball.nl/management/7983f1df-70f8-4def-af89-86b7fe6cde42/spas/competition/matches/503717" xr:uid="{00000000-0004-0000-0400-00002E000000}"/>
    <hyperlink ref="A52" r:id="rId48" display="https://club.basketball.nl/management/7983f1df-70f8-4def-af89-86b7fe6cde42/spas/competition/matches/507318" xr:uid="{00000000-0004-0000-0400-00002F000000}"/>
    <hyperlink ref="A53" r:id="rId49" display="https://club.basketball.nl/management/7983f1df-70f8-4def-af89-86b7fe6cde42/spas/competition/matches/509511" xr:uid="{00000000-0004-0000-0400-000030000000}"/>
    <hyperlink ref="A54" r:id="rId50" display="https://club.basketball.nl/management/7983f1df-70f8-4def-af89-86b7fe6cde42/spas/competition/matches/510693" xr:uid="{00000000-0004-0000-0400-000031000000}"/>
    <hyperlink ref="A55" r:id="rId51" display="https://club.basketball.nl/management/7983f1df-70f8-4def-af89-86b7fe6cde42/spas/competition/matches/512855" xr:uid="{00000000-0004-0000-0400-000032000000}"/>
    <hyperlink ref="A56" r:id="rId52" display="https://club.basketball.nl/management/7983f1df-70f8-4def-af89-86b7fe6cde42/spas/competition/matches/511906" xr:uid="{00000000-0004-0000-0400-000033000000}"/>
    <hyperlink ref="A57" r:id="rId53" display="https://club.basketball.nl/management/7983f1df-70f8-4def-af89-86b7fe6cde42/spas/competition/matches/505384" xr:uid="{00000000-0004-0000-0400-000034000000}"/>
    <hyperlink ref="A58" r:id="rId54" display="https://club.basketball.nl/management/7983f1df-70f8-4def-af89-86b7fe6cde42/spas/competition/matches/509519" xr:uid="{00000000-0004-0000-0400-000035000000}"/>
    <hyperlink ref="A59" r:id="rId55" display="https://club.basketball.nl/management/7983f1df-70f8-4def-af89-86b7fe6cde42/spas/competition/matches/508414" xr:uid="{00000000-0004-0000-0400-000036000000}"/>
    <hyperlink ref="A60" r:id="rId56" display="https://club.basketball.nl/management/7983f1df-70f8-4def-af89-86b7fe6cde42/spas/competition/matches/510696" xr:uid="{00000000-0004-0000-0400-000037000000}"/>
    <hyperlink ref="A61" r:id="rId57" display="https://club.basketball.nl/management/7983f1df-70f8-4def-af89-86b7fe6cde42/spas/competition/matches/507321" xr:uid="{00000000-0004-0000-0400-000038000000}"/>
    <hyperlink ref="A62" r:id="rId58" display="https://club.basketball.nl/management/7983f1df-70f8-4def-af89-86b7fe6cde42/spas/competition/matches/503725" xr:uid="{00000000-0004-0000-0400-000039000000}"/>
    <hyperlink ref="A63" r:id="rId59" display="https://club.basketball.nl/management/7983f1df-70f8-4def-af89-86b7fe6cde42/spas/competition/matches/511762" xr:uid="{00000000-0004-0000-0400-00003A000000}"/>
    <hyperlink ref="A64" r:id="rId60" display="https://club.basketball.nl/management/7983f1df-70f8-4def-af89-86b7fe6cde42/spas/competition/matches/509523" xr:uid="{00000000-0004-0000-0400-00003B000000}"/>
    <hyperlink ref="A67" r:id="rId61" display="https://club.basketball.nl/management/7983f1df-70f8-4def-af89-86b7fe6cde42/spas/competition/matches/511768" xr:uid="{00000000-0004-0000-0400-00003C000000}"/>
    <hyperlink ref="A68" r:id="rId62" display="https://club.basketball.nl/management/7983f1df-70f8-4def-af89-86b7fe6cde42/spas/competition/matches/507326" xr:uid="{00000000-0004-0000-0400-00003D000000}"/>
    <hyperlink ref="A69" r:id="rId63" display="https://club.basketball.nl/management/7983f1df-70f8-4def-af89-86b7fe6cde42/spas/competition/matches/508424" xr:uid="{00000000-0004-0000-0400-00003E000000}"/>
    <hyperlink ref="A70" r:id="rId64" display="https://club.basketball.nl/management/7983f1df-70f8-4def-af89-86b7fe6cde42/spas/competition/matches/503729" xr:uid="{00000000-0004-0000-0400-00003F000000}"/>
    <hyperlink ref="A71" r:id="rId65" display="https://club.basketball.nl/management/7983f1df-70f8-4def-af89-86b7fe6cde42/spas/competition/matches/510704" xr:uid="{00000000-0004-0000-0400-000040000000}"/>
    <hyperlink ref="A72" r:id="rId66" display="https://club.basketball.nl/management/7983f1df-70f8-4def-af89-86b7fe6cde42/spas/competition/matches/514112" xr:uid="{00000000-0004-0000-0400-000041000000}"/>
    <hyperlink ref="A73" r:id="rId67" display="https://club.basketball.nl/management/7983f1df-70f8-4def-af89-86b7fe6cde42/spas/competition/matches/505390" xr:uid="{00000000-0004-0000-0400-000042000000}"/>
    <hyperlink ref="A74" r:id="rId68" display="https://club.basketball.nl/management/7983f1df-70f8-4def-af89-86b7fe6cde42/spas/competition/matches/507323" xr:uid="{00000000-0004-0000-0400-000043000000}"/>
    <hyperlink ref="A75" r:id="rId69" display="https://club.basketball.nl/management/7983f1df-70f8-4def-af89-86b7fe6cde42/spas/competition/matches/512454" xr:uid="{00000000-0004-0000-0400-000044000000}"/>
    <hyperlink ref="A76" r:id="rId70" display="https://club.basketball.nl/management/7983f1df-70f8-4def-af89-86b7fe6cde42/spas/competition/matches/503738" xr:uid="{00000000-0004-0000-0400-000045000000}"/>
    <hyperlink ref="A77" r:id="rId71" display="https://club.basketball.nl/management/7983f1df-70f8-4def-af89-86b7fe6cde42/spas/competition/matches/509468" xr:uid="{00000000-0004-0000-0400-000046000000}"/>
    <hyperlink ref="A78" r:id="rId72" display="https://club.basketball.nl/management/7983f1df-70f8-4def-af89-86b7fe6cde42/spas/competition/matches/508427" xr:uid="{00000000-0004-0000-0400-000047000000}"/>
    <hyperlink ref="A79" r:id="rId73" display="https://club.basketball.nl/management/7983f1df-70f8-4def-af89-86b7fe6cde42/spas/competition/matches/507327" xr:uid="{00000000-0004-0000-0400-000048000000}"/>
    <hyperlink ref="A80" r:id="rId74" display="https://club.basketball.nl/management/7983f1df-70f8-4def-af89-86b7fe6cde42/spas/competition/matches/510707" xr:uid="{00000000-0004-0000-0400-000049000000}"/>
    <hyperlink ref="A81" r:id="rId75" display="https://club.basketball.nl/management/7983f1df-70f8-4def-af89-86b7fe6cde42/spas/competition/matches/511775" xr:uid="{00000000-0004-0000-0400-00004A000000}"/>
    <hyperlink ref="A82" r:id="rId76" display="https://club.basketball.nl/management/7983f1df-70f8-4def-af89-86b7fe6cde42/spas/competition/matches/509532" xr:uid="{00000000-0004-0000-0400-00004B000000}"/>
    <hyperlink ref="A83" r:id="rId77" display="https://club.basketball.nl/management/7983f1df-70f8-4def-af89-86b7fe6cde42/spas/competition/matches/505397" xr:uid="{00000000-0004-0000-0400-00004C000000}"/>
    <hyperlink ref="A84" r:id="rId78" display="https://club.basketball.nl/management/7983f1df-70f8-4def-af89-86b7fe6cde42/spas/competition/matches/507330" xr:uid="{00000000-0004-0000-0400-00004D000000}"/>
    <hyperlink ref="A85" r:id="rId79" display="https://club.basketball.nl/management/7983f1df-70f8-4def-af89-86b7fe6cde42/spas/competition/matches/508434" xr:uid="{00000000-0004-0000-0400-00004E000000}"/>
    <hyperlink ref="A86" r:id="rId80" display="https://club.basketball.nl/management/7983f1df-70f8-4def-af89-86b7fe6cde42/spas/competition/matches/503745" xr:uid="{00000000-0004-0000-0400-00004F000000}"/>
    <hyperlink ref="A87" r:id="rId81" display="https://club.basketball.nl/management/7983f1df-70f8-4def-af89-86b7fe6cde42/spas/competition/matches/510713" xr:uid="{00000000-0004-0000-0400-000050000000}"/>
    <hyperlink ref="A88" r:id="rId82" display="https://club.basketball.nl/management/7983f1df-70f8-4def-af89-86b7fe6cde42/spas/competition/matches/511989" xr:uid="{00000000-0004-0000-0400-000051000000}"/>
    <hyperlink ref="A89" r:id="rId83" display="https://club.basketball.nl/management/7983f1df-70f8-4def-af89-86b7fe6cde42/spas/competition/matches/511782" xr:uid="{00000000-0004-0000-0400-000052000000}"/>
    <hyperlink ref="A90" r:id="rId84" display="https://club.basketball.nl/management/7983f1df-70f8-4def-af89-86b7fe6cde42/spas/competition/matches/507334" xr:uid="{00000000-0004-0000-0400-000053000000}"/>
    <hyperlink ref="A91" r:id="rId85" display="https://club.basketball.nl/management/7983f1df-70f8-4def-af89-86b7fe6cde42/spas/competition/matches/509539" xr:uid="{00000000-0004-0000-0400-000054000000}"/>
    <hyperlink ref="A92" r:id="rId86" display="https://club.basketball.nl/management/7983f1df-70f8-4def-af89-86b7fe6cde42/spas/competition/matches/511785" xr:uid="{00000000-0004-0000-0400-000055000000}"/>
    <hyperlink ref="A93" r:id="rId87" display="https://club.basketball.nl/management/7983f1df-70f8-4def-af89-86b7fe6cde42/spas/competition/matches/511990" xr:uid="{00000000-0004-0000-0400-000056000000}"/>
    <hyperlink ref="A94" r:id="rId88" display="https://club.basketball.nl/management/7983f1df-70f8-4def-af89-86b7fe6cde42/spas/competition/matches/508441" xr:uid="{00000000-0004-0000-0400-000057000000}"/>
    <hyperlink ref="A95" r:id="rId89" display="https://club.basketball.nl/management/7983f1df-70f8-4def-af89-86b7fe6cde42/spas/competition/matches/511917" xr:uid="{00000000-0004-0000-0400-000058000000}"/>
    <hyperlink ref="A96" r:id="rId90" display="https://club.basketball.nl/management/7983f1df-70f8-4def-af89-86b7fe6cde42/spas/competition/matches/507338" xr:uid="{00000000-0004-0000-0400-000059000000}"/>
    <hyperlink ref="A99" r:id="rId91" display="https://club.basketball.nl/management/7983f1df-70f8-4def-af89-86b7fe6cde42/spas/competition/matches/503746" xr:uid="{00000000-0004-0000-0400-00005A000000}"/>
    <hyperlink ref="A100" r:id="rId92" display="https://club.basketball.nl/management/7983f1df-70f8-4def-af89-86b7fe6cde42/spas/competition/matches/510718" xr:uid="{00000000-0004-0000-0400-00005B000000}"/>
    <hyperlink ref="A101" r:id="rId93" display="https://club.basketball.nl/management/7983f1df-70f8-4def-af89-86b7fe6cde42/spas/competition/matches/509540" xr:uid="{00000000-0004-0000-0400-00005C000000}"/>
    <hyperlink ref="A102" r:id="rId94" display="https://club.basketball.nl/management/7983f1df-70f8-4def-af89-86b7fe6cde42/spas/competition/matches/505412" xr:uid="{00000000-0004-0000-0400-00005D000000}"/>
    <hyperlink ref="A103" r:id="rId95" display="https://club.basketball.nl/management/7983f1df-70f8-4def-af89-86b7fe6cde42/spas/competition/matches/511790" xr:uid="{00000000-0004-0000-0400-00005E000000}"/>
    <hyperlink ref="A104" r:id="rId96" display="https://club.basketball.nl/management/7983f1df-70f8-4def-af89-86b7fe6cde42/spas/competition/matches/507342" xr:uid="{00000000-0004-0000-0400-00005F000000}"/>
    <hyperlink ref="A105" r:id="rId97" display="https://club.basketball.nl/management/7983f1df-70f8-4def-af89-86b7fe6cde42/spas/competition/matches/510723" xr:uid="{00000000-0004-0000-0400-000060000000}"/>
    <hyperlink ref="A106" r:id="rId98" display="https://club.basketball.nl/management/7983f1df-70f8-4def-af89-86b7fe6cde42/spas/competition/matches/503757" xr:uid="{00000000-0004-0000-0400-000061000000}"/>
    <hyperlink ref="A107" r:id="rId99" display="https://club.basketball.nl/management/7983f1df-70f8-4def-af89-86b7fe6cde42/spas/competition/matches/509551" xr:uid="{00000000-0004-0000-0400-000062000000}"/>
    <hyperlink ref="A108" r:id="rId100" display="https://club.basketball.nl/management/7983f1df-70f8-4def-af89-86b7fe6cde42/spas/competition/matches/509552" xr:uid="{00000000-0004-0000-0400-000063000000}"/>
    <hyperlink ref="A109" r:id="rId101" display="https://club.basketball.nl/management/7983f1df-70f8-4def-af89-86b7fe6cde42/spas/competition/matches/505418" xr:uid="{00000000-0004-0000-0400-000064000000}"/>
    <hyperlink ref="A110" r:id="rId102" display="https://club.basketball.nl/management/7983f1df-70f8-4def-af89-86b7fe6cde42/spas/competition/matches/510727" xr:uid="{00000000-0004-0000-0400-000065000000}"/>
    <hyperlink ref="A111" r:id="rId103" display="https://club.basketball.nl/management/7983f1df-70f8-4def-af89-86b7fe6cde42/spas/competition/matches/508452" xr:uid="{00000000-0004-0000-0400-000066000000}"/>
    <hyperlink ref="A112" r:id="rId104" display="https://club.basketball.nl/management/7983f1df-70f8-4def-af89-86b7fe6cde42/spas/competition/matches/511796" xr:uid="{00000000-0004-0000-0400-000067000000}"/>
    <hyperlink ref="A113" r:id="rId105" display="https://club.basketball.nl/management/7983f1df-70f8-4def-af89-86b7fe6cde42/spas/competition/matches/503758" xr:uid="{00000000-0004-0000-0400-000068000000}"/>
    <hyperlink ref="A114" r:id="rId106" display="https://club.basketball.nl/management/7983f1df-70f8-4def-af89-86b7fe6cde42/spas/competition/matches/507343" xr:uid="{00000000-0004-0000-0400-000069000000}"/>
    <hyperlink ref="A115" r:id="rId107" display="https://club.basketball.nl/management/7983f1df-70f8-4def-af89-86b7fe6cde42/spas/competition/matches/507346" xr:uid="{00000000-0004-0000-0400-00006A000000}"/>
    <hyperlink ref="A116" r:id="rId108" display="https://club.basketball.nl/management/7983f1df-70f8-4def-af89-86b7fe6cde42/spas/competition/matches/510731" xr:uid="{00000000-0004-0000-0400-00006B000000}"/>
    <hyperlink ref="A117" r:id="rId109" display="https://club.basketball.nl/management/7983f1df-70f8-4def-af89-86b7fe6cde42/spas/competition/matches/507347" xr:uid="{00000000-0004-0000-0400-00006C000000}"/>
    <hyperlink ref="A118" r:id="rId110" display="https://club.basketball.nl/management/7983f1df-70f8-4def-af89-86b7fe6cde42/spas/competition/matches/503765" xr:uid="{00000000-0004-0000-0400-00006D000000}"/>
    <hyperlink ref="A119" r:id="rId111" display="https://club.basketball.nl/management/7983f1df-70f8-4def-af89-86b7fe6cde42/spas/competition/matches/507351" xr:uid="{00000000-0004-0000-0400-00006E000000}"/>
    <hyperlink ref="A120" r:id="rId112" display="https://club.basketball.nl/management/7983f1df-70f8-4def-af89-86b7fe6cde42/spas/competition/matches/508456" xr:uid="{00000000-0004-0000-0400-00006F000000}"/>
    <hyperlink ref="A121" r:id="rId113" display="https://club.basketball.nl/management/7983f1df-70f8-4def-af89-86b7fe6cde42/spas/competition/matches/509559" xr:uid="{00000000-0004-0000-0400-000070000000}"/>
    <hyperlink ref="A122" r:id="rId114" display="https://club.basketball.nl/management/7983f1df-70f8-4def-af89-86b7fe6cde42/spas/competition/matches/511807" xr:uid="{00000000-0004-0000-0400-000071000000}"/>
    <hyperlink ref="A123" r:id="rId115" display="https://club.basketball.nl/management/7983f1df-70f8-4def-af89-86b7fe6cde42/spas/competition/matches/512863" xr:uid="{00000000-0004-0000-0400-000072000000}"/>
    <hyperlink ref="A124" r:id="rId116" display="https://club.basketball.nl/management/7983f1df-70f8-4def-af89-86b7fe6cde42/spas/competition/matches/505430" xr:uid="{00000000-0004-0000-0400-000073000000}"/>
    <hyperlink ref="A125" r:id="rId117" display="https://club.basketball.nl/management/7983f1df-70f8-4def-af89-86b7fe6cde42/spas/competition/matches/507355" xr:uid="{00000000-0004-0000-0400-000074000000}"/>
    <hyperlink ref="A126" r:id="rId118" display="https://club.basketball.nl/management/7983f1df-70f8-4def-af89-86b7fe6cde42/spas/competition/matches/508470" xr:uid="{00000000-0004-0000-0400-000075000000}"/>
    <hyperlink ref="A127" r:id="rId119" display="https://club.basketball.nl/management/7983f1df-70f8-4def-af89-86b7fe6cde42/spas/competition/matches/505429" xr:uid="{00000000-0004-0000-0400-000076000000}"/>
    <hyperlink ref="A128" r:id="rId120" display="https://club.basketball.nl/management/7983f1df-70f8-4def-af89-86b7fe6cde42/spas/competition/matches/503771" xr:uid="{00000000-0004-0000-0400-000077000000}"/>
    <hyperlink ref="A131" r:id="rId121" display="https://club.basketball.nl/management/7983f1df-70f8-4def-af89-86b7fe6cde42/spas/competition/matches/508463" xr:uid="{00000000-0004-0000-0400-000078000000}"/>
    <hyperlink ref="A132" r:id="rId122" display="https://club.basketball.nl/management/7983f1df-70f8-4def-af89-86b7fe6cde42/spas/competition/matches/510736" xr:uid="{00000000-0004-0000-0400-000079000000}"/>
    <hyperlink ref="A133" r:id="rId123" display="https://club.basketball.nl/management/7983f1df-70f8-4def-af89-86b7fe6cde42/spas/competition/matches/511808" xr:uid="{00000000-0004-0000-0400-00007A000000}"/>
    <hyperlink ref="A134" r:id="rId124" display="https://club.basketball.nl/management/7983f1df-70f8-4def-af89-86b7fe6cde42/spas/competition/matches/505438" xr:uid="{00000000-0004-0000-0400-00007B000000}"/>
    <hyperlink ref="A135" r:id="rId125" display="https://club.basketball.nl/management/7983f1df-70f8-4def-af89-86b7fe6cde42/spas/competition/matches/507356" xr:uid="{00000000-0004-0000-0400-00007C000000}"/>
    <hyperlink ref="A136" r:id="rId126" display="https://club.basketball.nl/management/7983f1df-70f8-4def-af89-86b7fe6cde42/spas/competition/matches/511816" xr:uid="{00000000-0004-0000-0400-00007D000000}"/>
    <hyperlink ref="A137" r:id="rId127" display="https://club.basketball.nl/management/7983f1df-70f8-4def-af89-86b7fe6cde42/spas/competition/matches/507359" xr:uid="{00000000-0004-0000-0400-00007E000000}"/>
    <hyperlink ref="A138" r:id="rId128" display="https://club.basketball.nl/management/7983f1df-70f8-4def-af89-86b7fe6cde42/spas/competition/matches/509571" xr:uid="{00000000-0004-0000-0400-00007F000000}"/>
    <hyperlink ref="A139" r:id="rId129" display="https://club.basketball.nl/management/7983f1df-70f8-4def-af89-86b7fe6cde42/spas/competition/matches/516551" xr:uid="{00000000-0004-0000-0400-000080000000}"/>
    <hyperlink ref="A140" r:id="rId130" display="https://club.basketball.nl/management/7983f1df-70f8-4def-af89-86b7fe6cde42/spas/competition/matches/509578" xr:uid="{00000000-0004-0000-0400-000081000000}"/>
    <hyperlink ref="A141" r:id="rId131" display="https://club.basketball.nl/management/7983f1df-70f8-4def-af89-86b7fe6cde42/spas/competition/matches/508474" xr:uid="{00000000-0004-0000-0400-000082000000}"/>
    <hyperlink ref="A142" r:id="rId132" display="https://club.basketball.nl/management/7983f1df-70f8-4def-af89-86b7fe6cde42/spas/competition/matches/510746" xr:uid="{00000000-0004-0000-0400-000083000000}"/>
    <hyperlink ref="A143" r:id="rId133" display="https://club.basketball.nl/management/7983f1df-70f8-4def-af89-86b7fe6cde42/spas/competition/matches/511821" xr:uid="{00000000-0004-0000-0400-000084000000}"/>
    <hyperlink ref="A144" r:id="rId134" display="https://club.basketball.nl/management/7983f1df-70f8-4def-af89-86b7fe6cde42/spas/competition/matches/503784" xr:uid="{00000000-0004-0000-0400-000085000000}"/>
    <hyperlink ref="A145" r:id="rId135" display="https://club.basketball.nl/management/7983f1df-70f8-4def-af89-86b7fe6cde42/spas/competition/matches/507361" xr:uid="{00000000-0004-0000-0400-000086000000}"/>
    <hyperlink ref="A146" r:id="rId136" display="https://club.basketball.nl/management/7983f1df-70f8-4def-af89-86b7fe6cde42/spas/competition/matches/507363" xr:uid="{00000000-0004-0000-0400-000087000000}"/>
    <hyperlink ref="A147" r:id="rId137" display="https://club.basketball.nl/management/7983f1df-70f8-4def-af89-86b7fe6cde42/spas/competition/matches/512866" xr:uid="{00000000-0004-0000-0400-000088000000}"/>
    <hyperlink ref="A148" r:id="rId138" display="https://club.basketball.nl/management/7983f1df-70f8-4def-af89-86b7fe6cde42/spas/competition/matches/503789" xr:uid="{00000000-0004-0000-0400-000089000000}"/>
    <hyperlink ref="A149" r:id="rId139" display="https://club.basketball.nl/management/7983f1df-70f8-4def-af89-86b7fe6cde42/spas/competition/matches/511828" xr:uid="{00000000-0004-0000-0400-00008A000000}"/>
    <hyperlink ref="A150" r:id="rId140" display="https://club.basketball.nl/management/7983f1df-70f8-4def-af89-86b7fe6cde42/spas/competition/matches/507364" xr:uid="{00000000-0004-0000-0400-00008B000000}"/>
    <hyperlink ref="A151" r:id="rId141" display="https://club.basketball.nl/management/7983f1df-70f8-4def-af89-86b7fe6cde42/spas/competition/matches/509583" xr:uid="{00000000-0004-0000-0400-00008C000000}"/>
    <hyperlink ref="A152" r:id="rId142" display="https://club.basketball.nl/management/7983f1df-70f8-4def-af89-86b7fe6cde42/spas/competition/matches/508485" xr:uid="{00000000-0004-0000-0400-00008D000000}"/>
    <hyperlink ref="A153" r:id="rId143" display="https://club.basketball.nl/management/7983f1df-70f8-4def-af89-86b7fe6cde42/spas/competition/matches/508369" xr:uid="{00000000-0004-0000-0400-00008E000000}"/>
    <hyperlink ref="A154" r:id="rId144" display="https://club.basketball.nl/management/7983f1df-70f8-4def-af89-86b7fe6cde42/spas/competition/matches/511979" xr:uid="{00000000-0004-0000-0400-00008F000000}"/>
    <hyperlink ref="A155" r:id="rId145" display="https://club.basketball.nl/management/7983f1df-70f8-4def-af89-86b7fe6cde42/spas/competition/matches/507286" xr:uid="{00000000-0004-0000-0400-000090000000}"/>
    <hyperlink ref="A156" r:id="rId146" display="https://club.basketball.nl/management/7983f1df-70f8-4def-af89-86b7fe6cde42/spas/competition/matches/511713" xr:uid="{00000000-0004-0000-0400-000091000000}"/>
    <hyperlink ref="A157" r:id="rId147" display="https://club.basketball.nl/management/7983f1df-70f8-4def-af89-86b7fe6cde42/spas/competition/matches/503797" xr:uid="{00000000-0004-0000-0400-000092000000}"/>
    <hyperlink ref="A158" r:id="rId148" display="https://club.basketball.nl/management/7983f1df-70f8-4def-af89-86b7fe6cde42/spas/competition/matches/508486" xr:uid="{00000000-0004-0000-0400-000093000000}"/>
    <hyperlink ref="A159" r:id="rId149" display="https://club.basketball.nl/management/7983f1df-70f8-4def-af89-86b7fe6cde42/spas/competition/matches/512465" xr:uid="{00000000-0004-0000-0400-000094000000}"/>
    <hyperlink ref="A160" r:id="rId150" display="https://club.basketball.nl/management/7983f1df-70f8-4def-af89-86b7fe6cde42/spas/competition/matches/505456" xr:uid="{00000000-0004-0000-0400-000095000000}"/>
    <hyperlink ref="A163" r:id="rId151" display="https://club.basketball.nl/management/7983f1df-70f8-4def-af89-86b7fe6cde42/spas/competition/matches/514123" xr:uid="{00000000-0004-0000-0400-000096000000}"/>
    <hyperlink ref="A164" r:id="rId152" display="https://club.basketball.nl/management/7983f1df-70f8-4def-af89-86b7fe6cde42/spas/competition/matches/510756" xr:uid="{00000000-0004-0000-0400-000097000000}"/>
    <hyperlink ref="A165" r:id="rId153" display="https://club.basketball.nl/management/7983f1df-70f8-4def-af89-86b7fe6cde42/spas/competition/matches/507370" xr:uid="{00000000-0004-0000-0400-000098000000}"/>
    <hyperlink ref="A166" r:id="rId154" display="https://club.basketball.nl/management/7983f1df-70f8-4def-af89-86b7fe6cde42/spas/competition/matches/507371" xr:uid="{00000000-0004-0000-0400-000099000000}"/>
    <hyperlink ref="A167" r:id="rId155" display="https://club.basketball.nl/management/7983f1df-70f8-4def-af89-86b7fe6cde42/spas/competition/matches/503801" xr:uid="{00000000-0004-0000-0400-00009A000000}"/>
    <hyperlink ref="A168" r:id="rId156" display="https://club.basketball.nl/management/7983f1df-70f8-4def-af89-86b7fe6cde42/spas/competition/matches/511840" xr:uid="{00000000-0004-0000-0400-00009B000000}"/>
    <hyperlink ref="A169" r:id="rId157" display="https://club.basketball.nl/management/7983f1df-70f8-4def-af89-86b7fe6cde42/spas/competition/matches/507375" xr:uid="{00000000-0004-0000-0400-00009C000000}"/>
    <hyperlink ref="A170" r:id="rId158" display="https://club.basketball.nl/management/7983f1df-70f8-4def-af89-86b7fe6cde42/spas/competition/matches/508496" xr:uid="{00000000-0004-0000-0400-00009D000000}"/>
    <hyperlink ref="A171" r:id="rId159" display="https://club.basketball.nl/management/7983f1df-70f8-4def-af89-86b7fe6cde42/spas/competition/matches/505462" xr:uid="{00000000-0004-0000-0400-00009E000000}"/>
    <hyperlink ref="A172" r:id="rId160" display="https://club.basketball.nl/management/7983f1df-70f8-4def-af89-86b7fe6cde42/spas/competition/matches/507372" xr:uid="{00000000-0004-0000-0400-00009F000000}"/>
    <hyperlink ref="A173" r:id="rId161" display="https://club.basketball.nl/management/7983f1df-70f8-4def-af89-86b7fe6cde42/spas/competition/matches/510764" xr:uid="{00000000-0004-0000-0400-0000A0000000}"/>
    <hyperlink ref="A174" r:id="rId162" display="https://club.basketball.nl/management/7983f1df-70f8-4def-af89-86b7fe6cde42/spas/competition/matches/509595" xr:uid="{00000000-0004-0000-0400-0000A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SKP</vt:lpstr>
      <vt:lpstr>Players</vt:lpstr>
      <vt:lpstr>Committees</vt:lpstr>
      <vt:lpstr>Divisions</vt:lpstr>
      <vt:lpstr>all 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 Molendijk</cp:lastModifiedBy>
  <dcterms:created xsi:type="dcterms:W3CDTF">2026-09-25T12:41:02Z</dcterms:created>
  <dcterms:modified xsi:type="dcterms:W3CDTF">2026-09-25T15:03:39Z</dcterms:modified>
</cp:coreProperties>
</file>